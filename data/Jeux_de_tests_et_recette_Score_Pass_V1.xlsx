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FORMATION SG-SERVICE\Activites de la SG-SERVICE\TOLBO\Site-web-GULGO\data\"/>
    </mc:Choice>
  </mc:AlternateContent>
  <xr:revisionPtr revIDLastSave="0" documentId="13_ncr:1_{D9C5FE85-31F2-4626-B0DC-BAC086E2E96E}" xr6:coauthVersionLast="47" xr6:coauthVersionMax="47" xr10:uidLastSave="{00000000-0000-0000-0000-000000000000}"/>
  <bookViews>
    <workbookView xWindow="-108" yWindow="-108" windowWidth="23256" windowHeight="12456" firstSheet="7" activeTab="11" xr2:uid="{00000000-000D-0000-FFFF-FFFF00000000}"/>
  </bookViews>
  <sheets>
    <sheet name="00_README" sheetId="1" r:id="rId1"/>
    <sheet name="01_Catalogue_Tests" sheetId="2" r:id="rId2"/>
    <sheet name="02_Cas_Numeriques" sheetId="3" r:id="rId3"/>
    <sheet name="03_Tests_IQP" sheetId="4" r:id="rId4"/>
    <sheet name="04_Statuts_Donnees" sheetId="5" r:id="rId5"/>
    <sheet name="05_Tests_Hard_Gates" sheetId="6" r:id="rId6"/>
    <sheet name="06_Tests_Versionnage" sheetId="7" r:id="rId7"/>
    <sheet name="07_Tests_Restitution" sheetId="8" r:id="rId8"/>
    <sheet name="08_Execution_Recette" sheetId="9" r:id="rId9"/>
    <sheet name="09_Registre_Anomalies" sheetId="10" r:id="rId10"/>
    <sheet name="10_Synthese_Recette" sheetId="11" r:id="rId11"/>
    <sheet name="11_Checklist_PreProd"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11" l="1"/>
  <c r="B9" i="11"/>
  <c r="B8" i="11"/>
  <c r="B7" i="11"/>
  <c r="B6" i="11"/>
  <c r="B10" i="11" s="1"/>
  <c r="H8" i="4"/>
  <c r="J8" i="4" s="1"/>
  <c r="K8" i="4" s="1"/>
  <c r="H7" i="4"/>
  <c r="J7" i="4" s="1"/>
  <c r="K7" i="4" s="1"/>
  <c r="J6" i="4"/>
  <c r="K6" i="4" s="1"/>
  <c r="H6" i="4"/>
  <c r="J5" i="4"/>
  <c r="K5" i="4" s="1"/>
  <c r="H5" i="4"/>
  <c r="J9" i="3"/>
  <c r="I9" i="3"/>
  <c r="Q9" i="3" s="1"/>
  <c r="Q8" i="3"/>
  <c r="J8" i="3"/>
  <c r="I8" i="3"/>
  <c r="I7" i="3"/>
  <c r="J7" i="3" s="1"/>
  <c r="I6" i="3"/>
  <c r="Q6" i="3" s="1"/>
  <c r="Q5" i="3"/>
  <c r="I5" i="3"/>
  <c r="J5" i="3" s="1"/>
  <c r="J6" i="3" l="1"/>
  <c r="Q7" i="3"/>
</calcChain>
</file>

<file path=xl/sharedStrings.xml><?xml version="1.0" encoding="utf-8"?>
<sst xmlns="http://schemas.openxmlformats.org/spreadsheetml/2006/main" count="796" uniqueCount="474">
  <si>
    <t>Validation de conformité du moteur par rapport au Manuel méthodologique, aux Spécifications fonctionnelles et au Paramétrage V1 pré-pilote.</t>
  </si>
  <si>
    <t>Élément</t>
  </si>
  <si>
    <t>Contenu</t>
  </si>
  <si>
    <t>Objectif</t>
  </si>
  <si>
    <t>Vérifier le comportement fonctionnel du moteur Score Pass avant recette et mise en pilote.</t>
  </si>
  <si>
    <t>Documents de référence</t>
  </si>
  <si>
    <t>Manuel méthodologique Score Pass V1 ; Spécifications fonctionnelles du moteur Score Pass V1 ; Paramétrage du moteur Score Pass V1.xlsx.</t>
  </si>
  <si>
    <t>Nature des tests</t>
  </si>
  <si>
    <t>Calcul, applicabilité, données manquantes, preuves, IQP, hard gates, versionnage, restitution, audit trail et sécurité.</t>
  </si>
  <si>
    <t>Paramètres non calibrés</t>
  </si>
  <si>
    <t>Les tests ne figent pas les seuils, classes, niveaux minimaux de preuve ou règles sectorielles encore marqués « À calibrer ».</t>
  </si>
  <si>
    <t>Principe de recette</t>
  </si>
  <si>
    <t>Conforme uniquement si le résultat observé correspond au résultat attendu et si la traçabilité requise est complète.</t>
  </si>
  <si>
    <t>Important</t>
  </si>
  <si>
    <t>Les cas numériques fondés sur les poids D1–D6 V1 servent à la recette technique ; ils ne valident pas définitivement les pondérations.</t>
  </si>
  <si>
    <t>Version du classeur</t>
  </si>
  <si>
    <t>V1.0 — pré-pilote</t>
  </si>
  <si>
    <t>Date</t>
  </si>
  <si>
    <t>2026-08-31</t>
  </si>
  <si>
    <t>01 — Catalogue des tests de recette</t>
  </si>
  <si>
    <t>Chaque scénario possède un résultat attendu vérifiable indépendamment de l’interface technique retenue.</t>
  </si>
  <si>
    <t>Test_ID</t>
  </si>
  <si>
    <t>Famille</t>
  </si>
  <si>
    <t>Scénario</t>
  </si>
  <si>
    <t>Précondition</t>
  </si>
  <si>
    <t>Entrée clé</t>
  </si>
  <si>
    <t>Résultat attendu</t>
  </si>
  <si>
    <t>Criticité</t>
  </si>
  <si>
    <t>Automatisable</t>
  </si>
  <si>
    <t>Statut recette</t>
  </si>
  <si>
    <t>Responsable</t>
  </si>
  <si>
    <t>Commentaire</t>
  </si>
  <si>
    <t>T01</t>
  </si>
  <si>
    <t>Calcul</t>
  </si>
  <si>
    <t>Dossier complet sans anomalie</t>
  </si>
  <si>
    <t>Version V1.0 active</t>
  </si>
  <si>
    <t>D1–D6 évaluables</t>
  </si>
  <si>
    <t>Score Pass, IQP et couverture produits</t>
  </si>
  <si>
    <t>Critique</t>
  </si>
  <si>
    <t>Oui</t>
  </si>
  <si>
    <t>À exécuter</t>
  </si>
  <si>
    <t>T02</t>
  </si>
  <si>
    <t>Applicabilité</t>
  </si>
  <si>
    <t>Élément réellement non applicable</t>
  </si>
  <si>
    <t>Règle NA active</t>
  </si>
  <si>
    <t>NOT_APPLICABLE</t>
  </si>
  <si>
    <t>Exclusion du calcul et renormalisation si prévue</t>
  </si>
  <si>
    <t>T03</t>
  </si>
  <si>
    <t>Données manquantes</t>
  </si>
  <si>
    <t>Donnée applicable manquante</t>
  </si>
  <si>
    <t>Variable applicable</t>
  </si>
  <si>
    <t>NOT_EVALUABLE_MISSING</t>
  </si>
  <si>
    <t>Aucune conversion en 0 ; contrôle couverture</t>
  </si>
  <si>
    <t>T04</t>
  </si>
  <si>
    <t>Valeur zéro</t>
  </si>
  <si>
    <t>Valeur économique réellement égale à zéro</t>
  </si>
  <si>
    <t>Variable évaluable</t>
  </si>
  <si>
    <t>Valeur = 0</t>
  </si>
  <si>
    <t>0 traité comme valeur réelle</t>
  </si>
  <si>
    <t>T05</t>
  </si>
  <si>
    <t>Cold start</t>
  </si>
  <si>
    <t>Historique insuffisant</t>
  </si>
  <si>
    <t>Entreprise récente</t>
  </si>
  <si>
    <t>COLD_START</t>
  </si>
  <si>
    <t>Profil en constitution si nécessaire ; aucune pénalité automatique liée à l’âge</t>
  </si>
  <si>
    <t>Importante</t>
  </si>
  <si>
    <t>T06</t>
  </si>
  <si>
    <t>Preuve</t>
  </si>
  <si>
    <t>Variable critique avec preuve insuffisante</t>
  </si>
  <si>
    <t>Minimum de preuve configuré</t>
  </si>
  <si>
    <t>Preuve &lt; minimum</t>
  </si>
  <si>
    <t>Contrôle suspensif/bloquant selon paramètre</t>
  </si>
  <si>
    <t>T07</t>
  </si>
  <si>
    <t>Hard gate</t>
  </si>
  <si>
    <t>HG1 activé</t>
  </si>
  <si>
    <t>Identité/existence non établie</t>
  </si>
  <si>
    <t>HG1 actif</t>
  </si>
  <si>
    <t>Score global non produit tant que gate non levé</t>
  </si>
  <si>
    <t>T08</t>
  </si>
  <si>
    <t>Anomalie</t>
  </si>
  <si>
    <t>Anomalie A2 résolue</t>
  </si>
  <si>
    <t>Anomalie enregistrée</t>
  </si>
  <si>
    <t>A2 puis clôturée</t>
  </si>
  <si>
    <t>Historique conservé ; calcul autorisé après traitement</t>
  </si>
  <si>
    <t>Partiel</t>
  </si>
  <si>
    <t>T09</t>
  </si>
  <si>
    <t>Exception</t>
  </si>
  <si>
    <t>Exception méthodologique approuvée</t>
  </si>
  <si>
    <t>Autorisation conforme RACI</t>
  </si>
  <si>
    <t>Exception validée</t>
  </si>
  <si>
    <t>Traitement appliqué et visible dans audit trail</t>
  </si>
  <si>
    <t>T10</t>
  </si>
  <si>
    <t>Reproductibilité</t>
  </si>
  <si>
    <t>Même dossier, mêmes paramètres</t>
  </si>
  <si>
    <t>Données/version identiques</t>
  </si>
  <si>
    <t>Deux calculs</t>
  </si>
  <si>
    <t>Résultat strictement identique</t>
  </si>
  <si>
    <t>T11</t>
  </si>
  <si>
    <t>Versionnage</t>
  </si>
  <si>
    <t>Nouvelle version du modèle</t>
  </si>
  <si>
    <t>Score historique V1.0 existe</t>
  </si>
  <si>
    <t>Recalcul V1.1/V2.0</t>
  </si>
  <si>
    <t>Score historique inchangé ; recalcul distinct</t>
  </si>
  <si>
    <t>T12</t>
  </si>
  <si>
    <t>Correction</t>
  </si>
  <si>
    <t>Correction après restitution</t>
  </si>
  <si>
    <t>Erreur factuelle confirmée</t>
  </si>
  <si>
    <t>Valeur corrigée</t>
  </si>
  <si>
    <t>Score initial conservé ; score corrigé tracé</t>
  </si>
  <si>
    <t>T13</t>
  </si>
  <si>
    <t>IQP</t>
  </si>
  <si>
    <t>Score élevé avec IQP faible</t>
  </si>
  <si>
    <t>Calculs séparés</t>
  </si>
  <si>
    <t>Score élevé / IQP faible</t>
  </si>
  <si>
    <t>Résultats distincts ; aucune fusion automatique</t>
  </si>
  <si>
    <t>T14</t>
  </si>
  <si>
    <t>Score faible avec IQP élevé</t>
  </si>
  <si>
    <t>Score faible / IQP élevé</t>
  </si>
  <si>
    <t>T15</t>
  </si>
  <si>
    <t>Couverture</t>
  </si>
  <si>
    <t>Évaluation insuffisamment représentative</t>
  </si>
  <si>
    <t>Seuil configuré</t>
  </si>
  <si>
    <t>Couverture &lt; seuil</t>
  </si>
  <si>
    <t>ÉVALUATION INCOMPLÈTE — SCORE PASS GLOBAL NON PRODUIT</t>
  </si>
  <si>
    <t>T16</t>
  </si>
  <si>
    <t>Arrondi</t>
  </si>
  <si>
    <t>Arrondi externe</t>
  </si>
  <si>
    <t>Calcul interne décimal</t>
  </si>
  <si>
    <t>74,25</t>
  </si>
  <si>
    <t>Restitution 74/100 ; valeur interne conservée</t>
  </si>
  <si>
    <t>T17</t>
  </si>
  <si>
    <t>Score élevé avec gate bloquant</t>
  </si>
  <si>
    <t>Score brut calculable</t>
  </si>
  <si>
    <t>HG actif</t>
  </si>
  <si>
    <t>Aucun Score Pass officiel</t>
  </si>
  <si>
    <t>T18</t>
  </si>
  <si>
    <t>Restitution</t>
  </si>
  <si>
    <t>Mention obligatoire</t>
  </si>
  <si>
    <t>Score produit</t>
  </si>
  <si>
    <t>Rapport externe</t>
  </si>
  <si>
    <t>Mention de limites présente intégralement</t>
  </si>
  <si>
    <t>T19</t>
  </si>
  <si>
    <t>Fraîcheur</t>
  </si>
  <si>
    <t>Évaluation expirée</t>
  </si>
  <si>
    <t>Règle fraîcheur déclenchée</t>
  </si>
  <si>
    <t>EXPIRED</t>
  </si>
  <si>
    <t>Score historique conservé mais non présenté comme actuel</t>
  </si>
  <si>
    <t>T20</t>
  </si>
  <si>
    <t>Sécurité</t>
  </si>
  <si>
    <t>Rôle sans droit méthodologique</t>
  </si>
  <si>
    <t>Utilisateur restreint</t>
  </si>
  <si>
    <t>Tentative modification poids</t>
  </si>
  <si>
    <t>Modification refusée et journalisée</t>
  </si>
  <si>
    <t>02 — Cas numériques de référence</t>
  </si>
  <si>
    <t>Poids V1 : D1 15 %, D2 20 %, D3 20 %, D4 20 %, D5 15 %, D6 10 %. Les cas testent l’agrégation et la renormalisation.</t>
  </si>
  <si>
    <t>Case_ID</t>
  </si>
  <si>
    <t>Description</t>
  </si>
  <si>
    <t>D1</t>
  </si>
  <si>
    <t>D2</t>
  </si>
  <si>
    <t>D3</t>
  </si>
  <si>
    <t>D4</t>
  </si>
  <si>
    <t>D5</t>
  </si>
  <si>
    <t>D6</t>
  </si>
  <si>
    <t>Score interne calculé</t>
  </si>
  <si>
    <t>Score externe</t>
  </si>
  <si>
    <t>Statut attendu</t>
  </si>
  <si>
    <t>Cible interne</t>
  </si>
  <si>
    <t>Tolérance</t>
  </si>
  <si>
    <t>Contrôle</t>
  </si>
  <si>
    <t>But</t>
  </si>
  <si>
    <t>N01</t>
  </si>
  <si>
    <t>Cas complet de référence</t>
  </si>
  <si>
    <t>Non</t>
  </si>
  <si>
    <t>SCORE_PRODUCED</t>
  </si>
  <si>
    <t>Agrégation standard + arrondi</t>
  </si>
  <si>
    <t>N02</t>
  </si>
  <si>
    <t>Indépendance Score / IQP</t>
  </si>
  <si>
    <t>N03</t>
  </si>
  <si>
    <t>N04</t>
  </si>
  <si>
    <t>D6 non applicable</t>
  </si>
  <si>
    <t>Renormalisation sans D6</t>
  </si>
  <si>
    <t>N05</t>
  </si>
  <si>
    <t>Score brut élevé mais HG1 actif</t>
  </si>
  <si>
    <t>HG1</t>
  </si>
  <si>
    <t>INCOMPLETE</t>
  </si>
  <si>
    <t>Gate hors compensation</t>
  </si>
  <si>
    <t>03 — Tests du calcul IQP</t>
  </si>
  <si>
    <t>Formule V1 : IQP = 0,40 E + 0,20 C + 0,15 F + 0,15 Co + 0,10 T.</t>
  </si>
  <si>
    <t>E</t>
  </si>
  <si>
    <t>C</t>
  </si>
  <si>
    <t>F</t>
  </si>
  <si>
    <t>Co</t>
  </si>
  <si>
    <t>T</t>
  </si>
  <si>
    <t>IQP calculé</t>
  </si>
  <si>
    <t>IQP cible</t>
  </si>
  <si>
    <t>Écart</t>
  </si>
  <si>
    <t>IQP01</t>
  </si>
  <si>
    <t>Cas de référence</t>
  </si>
  <si>
    <t>Vérifier formule</t>
  </si>
  <si>
    <t>IQP02</t>
  </si>
  <si>
    <t>Toutes composantes à 100</t>
  </si>
  <si>
    <t>Maximum</t>
  </si>
  <si>
    <t>IQP03</t>
  </si>
  <si>
    <t>Toutes composantes à 0</t>
  </si>
  <si>
    <t>Minimum</t>
  </si>
  <si>
    <t>IQP04</t>
  </si>
  <si>
    <t>Étayage faible, autres élevés</t>
  </si>
  <si>
    <t>Poids dominant de l’étayage</t>
  </si>
  <si>
    <t>04 — Matrice de tests des statuts de données</t>
  </si>
  <si>
    <t>Contrôle de la distinction entre valeur zéro, manquant, NA, non-évaluable, cold start, refus et vérification.</t>
  </si>
  <si>
    <t>Entrée</t>
  </si>
  <si>
    <t>Code statut</t>
  </si>
  <si>
    <t>Scoré ?</t>
  </si>
  <si>
    <t>Valeur 0 ?</t>
  </si>
  <si>
    <t>Renormalisation auto ?</t>
  </si>
  <si>
    <t>Contrôle supplémentaire ?</t>
  </si>
  <si>
    <t>Recette</t>
  </si>
  <si>
    <t>S01</t>
  </si>
  <si>
    <t>Valeur réellement égale à 0</t>
  </si>
  <si>
    <t>EVALUABLE</t>
  </si>
  <si>
    <t>0 est une valeur valide</t>
  </si>
  <si>
    <t>S02</t>
  </si>
  <si>
    <t>Information absente</t>
  </si>
  <si>
    <t>Contrôle couverture/criticité</t>
  </si>
  <si>
    <t>S03</t>
  </si>
  <si>
    <t>Oui si règle active</t>
  </si>
  <si>
    <t>Exclusion du calcul</t>
  </si>
  <si>
    <t>S04</t>
  </si>
  <si>
    <t>Preuve insuffisante</t>
  </si>
  <si>
    <t>NOT_EVALUABLE_EVIDENCE</t>
  </si>
  <si>
    <t>Contrôle preuve minimum</t>
  </si>
  <si>
    <t>S05</t>
  </si>
  <si>
    <t>Selon indicateur</t>
  </si>
  <si>
    <t>Profil en constitution si nécessaire</t>
  </si>
  <si>
    <t>S06</t>
  </si>
  <si>
    <t>Information temporairement indisponible</t>
  </si>
  <si>
    <t>TEMP_UNAVAILABLE</t>
  </si>
  <si>
    <t>Non temporairement</t>
  </si>
  <si>
    <t>Dossier peut rester en cours</t>
  </si>
  <si>
    <t>S07</t>
  </si>
  <si>
    <t>Refus de transmission</t>
  </si>
  <si>
    <t>REFUSED</t>
  </si>
  <si>
    <t>Tracer refus ; hard gate possible si critique</t>
  </si>
  <si>
    <t>S08</t>
  </si>
  <si>
    <t>Sous vérification</t>
  </si>
  <si>
    <t>UNDER_VERIFICATION</t>
  </si>
  <si>
    <t>Non jusqu’à clôture</t>
  </si>
  <si>
    <t>Ne pas figer résultat prématurément</t>
  </si>
  <si>
    <t>05 — Tests des hard gates</t>
  </si>
  <si>
    <t>Les hard gates sont évalués indépendamment du score numérique.</t>
  </si>
  <si>
    <t>Gate</t>
  </si>
  <si>
    <t>Situation</t>
  </si>
  <si>
    <t>Score brut possible</t>
  </si>
  <si>
    <t>Effet attendu</t>
  </si>
  <si>
    <t>Score officiel ?</t>
  </si>
  <si>
    <t>Condition de levée</t>
  </si>
  <si>
    <t>Résultat observé</t>
  </si>
  <si>
    <t>HG-T01</t>
  </si>
  <si>
    <t>Identité/existence impossible à établir</t>
  </si>
  <si>
    <t>Suspendre ou bloquer</t>
  </si>
  <si>
    <t>Établir identité/existence selon procédure</t>
  </si>
  <si>
    <t>HG-T02</t>
  </si>
  <si>
    <t>HG2</t>
  </si>
  <si>
    <t>Activité incompatible avec le périmètre</t>
  </si>
  <si>
    <t>Interrompre l’évaluation normale</t>
  </si>
  <si>
    <t>INTERRUPTED</t>
  </si>
  <si>
    <t>Décision de périmètre ou gouvernance</t>
  </si>
  <si>
    <t>HG-T03</t>
  </si>
  <si>
    <t>HG3</t>
  </si>
  <si>
    <t>Falsification substantielle établie</t>
  </si>
  <si>
    <t>Bloquer / escalader</t>
  </si>
  <si>
    <t>SUSPENDED</t>
  </si>
  <si>
    <t>Décision formelle et traitement selon cas</t>
  </si>
  <si>
    <t>HG-T04</t>
  </si>
  <si>
    <t>HG4</t>
  </si>
  <si>
    <t>Refus d’une information critique indispensable</t>
  </si>
  <si>
    <t>Transmission ou décision formelle</t>
  </si>
  <si>
    <t>HG-T05</t>
  </si>
  <si>
    <t>Aucun</t>
  </si>
  <si>
    <t>Aucun hard gate actif</t>
  </si>
  <si>
    <t>Poursuivre</t>
  </si>
  <si>
    <t>N/A</t>
  </si>
  <si>
    <t>06 — Tests de versionnage et reproductibilité</t>
  </si>
  <si>
    <t>Une nouvelle version ne doit jamais écraser un Score Pass officiel historique.</t>
  </si>
  <si>
    <t>Étape</t>
  </si>
  <si>
    <t>Evaluation_ID</t>
  </si>
  <si>
    <t>Version modèle</t>
  </si>
  <si>
    <t>Données</t>
  </si>
  <si>
    <t>Score attendu</t>
  </si>
  <si>
    <t>Nature résultat</t>
  </si>
  <si>
    <t>Remplace précédent ?</t>
  </si>
  <si>
    <t>Audit trail requis</t>
  </si>
  <si>
    <t>V01-1</t>
  </si>
  <si>
    <t>Calcul initial</t>
  </si>
  <si>
    <t>SP-2026-0001</t>
  </si>
  <si>
    <t>V1.0</t>
  </si>
  <si>
    <t>Dataset A</t>
  </si>
  <si>
    <t>Officiel</t>
  </si>
  <si>
    <t>V01-2</t>
  </si>
  <si>
    <t>Recalcul identique</t>
  </si>
  <si>
    <t>SP-2026-0001-R</t>
  </si>
  <si>
    <t>Contrôle reproductibilité</t>
  </si>
  <si>
    <t>V02-1</t>
  </si>
  <si>
    <t>Recalcul nouvelle version</t>
  </si>
  <si>
    <t>SP-2026-0001-A</t>
  </si>
  <si>
    <t>V1.1</t>
  </si>
  <si>
    <t>Selon V1.1</t>
  </si>
  <si>
    <t>Analytique</t>
  </si>
  <si>
    <t>V03-1</t>
  </si>
  <si>
    <t>Correction factuelle</t>
  </si>
  <si>
    <t>SP-2026-0001-C</t>
  </si>
  <si>
    <t>Dataset A corrigé</t>
  </si>
  <si>
    <t>Recalculé</t>
  </si>
  <si>
    <t>Correction officielle</t>
  </si>
  <si>
    <t>Non : original conservé</t>
  </si>
  <si>
    <t>07 — Tests de restitution</t>
  </si>
  <si>
    <t>Contrôle des champs et mentions obligatoires dans toute sortie officielle.</t>
  </si>
  <si>
    <t>Obligatoire</t>
  </si>
  <si>
    <t>Condition</t>
  </si>
  <si>
    <t>Format attendu</t>
  </si>
  <si>
    <t>Présent ?</t>
  </si>
  <si>
    <t>Conforme ?</t>
  </si>
  <si>
    <t>R01</t>
  </si>
  <si>
    <t>Identifiant entreprise</t>
  </si>
  <si>
    <t>Toujours</t>
  </si>
  <si>
    <t>enterprise_id</t>
  </si>
  <si>
    <t>R02</t>
  </si>
  <si>
    <t>Identifiant évaluation</t>
  </si>
  <si>
    <t>evaluation_id unique</t>
  </si>
  <si>
    <t>R03</t>
  </si>
  <si>
    <t>Version méthodologique</t>
  </si>
  <si>
    <t>Vx.y</t>
  </si>
  <si>
    <t>R04</t>
  </si>
  <si>
    <t>Date d’évaluation</t>
  </si>
  <si>
    <t>R05</t>
  </si>
  <si>
    <t>Période observée</t>
  </si>
  <si>
    <t>Période/date range</t>
  </si>
  <si>
    <t>R06</t>
  </si>
  <si>
    <t>Score Pass</t>
  </si>
  <si>
    <t>Conditionnel</t>
  </si>
  <si>
    <t>Si score produit</t>
  </si>
  <si>
    <t>X/100, jamais X %</t>
  </si>
  <si>
    <t>R07</t>
  </si>
  <si>
    <t>Scores D1–D6</t>
  </si>
  <si>
    <t>Oui si évaluables</t>
  </si>
  <si>
    <t>Selon applicabilité</t>
  </si>
  <si>
    <t>0–100</t>
  </si>
  <si>
    <t>R08</t>
  </si>
  <si>
    <t>Si évaluation</t>
  </si>
  <si>
    <t>/100</t>
  </si>
  <si>
    <t>R09</t>
  </si>
  <si>
    <t>% ou ratio identifié</t>
  </si>
  <si>
    <t>R10</t>
  </si>
  <si>
    <t>Statut fraîcheur</t>
  </si>
  <si>
    <t>À jour / À actualiser / Expiré</t>
  </si>
  <si>
    <t>R11</t>
  </si>
  <si>
    <t>Réserves / limites</t>
  </si>
  <si>
    <t>Texte/listes</t>
  </si>
  <si>
    <t>R12</t>
  </si>
  <si>
    <t>Mention méthodologique obligatoire</t>
  </si>
  <si>
    <t>Restitution externe</t>
  </si>
  <si>
    <t>Texte intégral validé</t>
  </si>
  <si>
    <t>Le Score Pass constitue une information structurée de crédibilité économique fondée sur les données et preuves disponibles à la date de l’évaluation. Il ne constitue ni une notation de crédit, ni une probabilité de défaut, ni une garantie de solvabilité, de remboursement, de performance future ou d’accès au financement. Toute décision économique, commerciale, financière ou d’investissement relève exclusivement du décideur concerné.</t>
  </si>
  <si>
    <t>08 — Feuille d’exécution de la recette</t>
  </si>
  <si>
    <t>À compléter pendant la recette avec l’ingénieur. Chaque écart doit être rattaché à une anomalie ou un correctif.</t>
  </si>
  <si>
    <t>Version moteur</t>
  </si>
  <si>
    <t>Testeur</t>
  </si>
  <si>
    <t>Statut</t>
  </si>
  <si>
    <t>Bug_ID</t>
  </si>
  <si>
    <t>Preuve / capture</t>
  </si>
  <si>
    <t>Visa</t>
  </si>
  <si>
    <t>09 — Registre des anomalies de recette</t>
  </si>
  <si>
    <t>Suivi des écarts entre résultat attendu et comportement du moteur.</t>
  </si>
  <si>
    <t>Date ouverture</t>
  </si>
  <si>
    <t>Module</t>
  </si>
  <si>
    <t>Correctif prévu</t>
  </si>
  <si>
    <t>Date correction</t>
  </si>
  <si>
    <t>Retest</t>
  </si>
  <si>
    <t>Décision recette</t>
  </si>
  <si>
    <t>BUG-001</t>
  </si>
  <si>
    <t>Ouvert</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</si>
  <si>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</si>
  <si>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</si>
  <si>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</si>
  <si>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</si>
  <si>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</si>
  <si>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</si>
  <si>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</si>
  <si>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</si>
  <si>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</si>
  <si>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</si>
  <si>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</si>
  <si>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</si>
  <si>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</si>
  <si>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</si>
  <si>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</si>
  <si>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</si>
  <si>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</si>
  <si>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</si>
  <si>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</si>
  <si>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10 — Synthèse de recette</t>
  </si>
  <si>
    <t>Tableau de bord pour la décision GO / ITERATE / PIVOT / NO-GO.</t>
  </si>
  <si>
    <t>Indicateur</t>
  </si>
  <si>
    <t>Valeur</t>
  </si>
  <si>
    <t>Critère</t>
  </si>
  <si>
    <t>GO</t>
  </si>
  <si>
    <t>ITERATE</t>
  </si>
  <si>
    <t>PIVOT</t>
  </si>
  <si>
    <t>NO-GO</t>
  </si>
  <si>
    <t>Tests catalogués</t>
  </si>
  <si>
    <t>Tests critiques</t>
  </si>
  <si>
    <t>Tous conformes</t>
  </si>
  <si>
    <t>Écarts corrigeables</t>
  </si>
  <si>
    <t>Écarts structurants</t>
  </si>
  <si>
    <t>Échec règles fondamentales</t>
  </si>
  <si>
    <t>Tests conformes</t>
  </si>
  <si>
    <t>Démontrée</t>
  </si>
  <si>
    <t>Correction mineure</t>
  </si>
  <si>
    <t>Architecture à revoir</t>
  </si>
  <si>
    <t>Non démontrée</t>
  </si>
  <si>
    <t>Tests non conformes</t>
  </si>
  <si>
    <t>Hard gates</t>
  </si>
  <si>
    <t>Conformes</t>
  </si>
  <si>
    <t>Ajustement local</t>
  </si>
  <si>
    <t>Logique à revoir</t>
  </si>
  <si>
    <t>Contournables/inopérants</t>
  </si>
  <si>
    <t>Tests bloqués</t>
  </si>
  <si>
    <t>Conforme</t>
  </si>
  <si>
    <t>Écrase l’historique</t>
  </si>
  <si>
    <t>Tests non exécutés</t>
  </si>
  <si>
    <t>Audit trail</t>
  </si>
  <si>
    <t>Complet</t>
  </si>
  <si>
    <t>Lacunes mineures</t>
  </si>
  <si>
    <t>Lacunes majeures</t>
  </si>
  <si>
    <t>Non exploitable</t>
  </si>
  <si>
    <t>Taux de conformité</t>
  </si>
  <si>
    <t>Décision finale</t>
  </si>
  <si>
    <t>Anomalies critiques ouvertes</t>
  </si>
  <si>
    <t>11 — Checklist avant pré-production</t>
  </si>
  <si>
    <t>La mise en pilote ne doit intervenir qu’après validation des éléments bloquants.</t>
  </si>
  <si>
    <t>ID</t>
  </si>
  <si>
    <t>État</t>
  </si>
  <si>
    <t>Bloquant ?</t>
  </si>
  <si>
    <t>PP01</t>
  </si>
  <si>
    <t>Dictionnaire des variables finalisé</t>
  </si>
  <si>
    <t>PP02</t>
  </si>
  <si>
    <t>Formules des 24 indicateurs formalisées</t>
  </si>
  <si>
    <t>PP03</t>
  </si>
  <si>
    <t>Règles de normalisation paramétrées</t>
  </si>
  <si>
    <t>PP04</t>
  </si>
  <si>
    <t>Poids internes validés pour le pilote</t>
  </si>
  <si>
    <t>PP05</t>
  </si>
  <si>
    <t>Règles de couverture définies</t>
  </si>
  <si>
    <t>PP06</t>
  </si>
  <si>
    <t>Niveaux minimaux de preuve définis pour variables critiques</t>
  </si>
  <si>
    <t>PP07</t>
  </si>
  <si>
    <t>Hard gates configurés et testés</t>
  </si>
  <si>
    <t>PP08</t>
  </si>
  <si>
    <t>IQP calculé séparément du Score Pass</t>
  </si>
  <si>
    <t>PP09</t>
  </si>
  <si>
    <t>Versionnage et non-rétroactivité testés</t>
  </si>
  <si>
    <t>PP10</t>
  </si>
  <si>
    <t>Audit trail fonctionnel</t>
  </si>
  <si>
    <t>PP11</t>
  </si>
  <si>
    <t>Restitution avec mention méthodologique</t>
  </si>
  <si>
    <t>PP12</t>
  </si>
  <si>
    <t>Jeux de tests critiques conformes</t>
  </si>
  <si>
    <t>PP13</t>
  </si>
  <si>
    <t>Sauvegarde/restauration testée</t>
  </si>
  <si>
    <t>PP14</t>
  </si>
  <si>
    <t>Droits d’accès par rôle testés</t>
  </si>
  <si>
    <t>PP15</t>
  </si>
  <si>
    <t>Décision GO / ITERATE / PIVOT / NO-GO formalisée</t>
  </si>
  <si>
    <t>GULGO — Jeux de tests et recette Score Pass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</si>
</sst>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quot;/100&quot;"/>
    <numFmt numFmtId="166" formatCode="yyyy\-mm\-dd"/>
  </numFmts>
  <fonts count="6">
    <font>
      <sz val="11"/>
      <name val="Carlito"/>
    </font>
    <font>
      <b/>
      <sz val="9"/>
      <color rgb="FFFFFFFF"/>
      <name val="Aptos"/>
    </font>
    <font>
      <sz val="9"/>
      <name val="Aptos"/>
    </font>
    <font>
      <i/>
      <sz val="9"/>
      <color rgb="FF667085"/>
      <name val="Aptos"/>
    </font>
    <font>
      <b/>
      <sz val="16"/>
      <color rgb="FFFFFFFF"/>
      <name val="Aptos Display"/>
    </font>
    <font>
      <i/>
      <sz val="10"/>
      <color rgb="FF667085"/>
      <name val="Aptos"/>
    </font>
  </fonts>
  <fills count="6">
    <fill>
      <patternFill patternType="none"/>
    </fill>
    <fill>
      <patternFill patternType="gray125"/>
    </fill>
    <fill>
      <patternFill patternType="solid">
        <fgColor rgb="FF0D2B66"/>
      </patternFill>
    </fill>
    <fill>
      <patternFill patternType="solid">
        <fgColor rgb="FFF3F6FA"/>
      </patternFill>
    </fill>
    <fill>
      <patternFill patternType="solid">
        <fgColor rgb="FF061A3A"/>
      </patternFill>
    </fill>
    <fill>
      <patternFill patternType="solid">
        <fgColor rgb="FFF7941D"/>
      </patternFill>
    </fill>
  </fills>
  <borders count="1">
    <border>
      <left/>
      <right/>
      <top/>
      <bottom/>
      <diagonal/>
    </border>
  </borders>
  <cellStyleXfs count="1">
    <xf numFmtId="0" fontId="0" fillId="0" borderId="0"/>
  </cellStyleXfs>
  <cellXfs count="15">
    <xf numFmtId="0" fontId="0" fillId="0" borderId="0" xfId="0"/>
    <xf numFmtId="0" fontId="2" fillId="0" borderId="0" xfId="0" applyNumberFormat="1" applyFont="1" applyFill="1" applyBorder="1"/>
    <xf numFmtId="0" fontId="1"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top" wrapText="1"/>
    </xf>
    <xf numFmtId="164" fontId="2" fillId="0" borderId="0" xfId="0" applyNumberFormat="1" applyFont="1" applyFill="1" applyBorder="1" applyAlignment="1">
      <alignment vertical="top" wrapText="1"/>
    </xf>
    <xf numFmtId="165" fontId="2" fillId="0" borderId="0" xfId="0" applyNumberFormat="1" applyFont="1" applyFill="1" applyBorder="1" applyAlignment="1">
      <alignment vertical="top" wrapText="1"/>
    </xf>
    <xf numFmtId="9" fontId="2" fillId="0" borderId="0" xfId="0" applyNumberFormat="1" applyFont="1" applyFill="1" applyBorder="1" applyAlignment="1">
      <alignment vertical="top" wrapText="1"/>
    </xf>
    <xf numFmtId="2" fontId="2" fillId="0" borderId="0" xfId="0" applyNumberFormat="1" applyFont="1" applyFill="1" applyBorder="1" applyAlignment="1">
      <alignment vertical="top" wrapText="1"/>
    </xf>
    <xf numFmtId="166" fontId="2" fillId="0" borderId="0" xfId="0" applyNumberFormat="1" applyFont="1" applyFill="1" applyBorder="1" applyAlignment="1">
      <alignment vertical="top" wrapText="1"/>
    </xf>
    <xf numFmtId="0" fontId="4" fillId="2" borderId="0" xfId="0" applyNumberFormat="1" applyFont="1" applyFill="1" applyBorder="1" applyAlignment="1">
      <alignment horizontal="left" vertical="center"/>
    </xf>
    <xf numFmtId="0" fontId="1" fillId="2" borderId="0" xfId="0" applyNumberFormat="1" applyFont="1" applyFill="1" applyBorder="1" applyAlignment="1">
      <alignment horizontal="left" vertical="center"/>
    </xf>
    <xf numFmtId="0" fontId="5" fillId="3" borderId="0" xfId="0" applyNumberFormat="1" applyFont="1" applyFill="1" applyBorder="1" applyAlignment="1">
      <alignment wrapText="1"/>
    </xf>
    <xf numFmtId="0" fontId="3" fillId="3" borderId="0" xfId="0" applyNumberFormat="1" applyFont="1" applyFill="1" applyBorder="1" applyAlignment="1">
      <alignment wrapText="1"/>
    </xf>
    <xf numFmtId="0" fontId="1" fillId="5" borderId="0" xfId="0" applyNumberFormat="1" applyFont="1" applyFill="1" applyBorder="1"/>
    <xf numFmtId="0" fontId="2" fillId="3" borderId="0" xfId="0" applyNumberFormat="1" applyFont="1" applyFill="1" applyBorder="1" applyAlignment="1">
      <alignment vertical="top" wrapText="1"/>
    </xf>
  </cellXfs>
  <cellStyles count="1">
    <cellStyle name="Normal" xfId="0" builtinId="0"/>
  </cellStyles>
  <dxfs count="12">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0"/>
  <sheetViews>
    <sheetView topLeftCell="A2" workbookViewId="0">
      <selection activeCell="B18" sqref="B18"/>
    </sheetView>
  </sheetViews>
  <sheetFormatPr baseColWidth="10" defaultColWidth="8.88671875" defaultRowHeight="14.4"/>
  <cols>
    <col min="1" max="1" width="30" customWidth="1"/>
    <col min="2" max="2" width="85" customWidth="1"/>
  </cols>
  <sheetData>
    <row r="1" spans="1:22" ht="22.35" customHeight="1">
      <c r="A1" s="9" t="s">
        <v>473</v>
      </c>
      <c r="B1" s="10"/>
      <c r="C1" s="10"/>
      <c r="D1" s="10"/>
      <c r="E1" s="10"/>
      <c r="F1" s="10"/>
      <c r="G1" s="10"/>
      <c r="H1" s="10"/>
      <c r="I1" s="1"/>
      <c r="J1" s="1"/>
      <c r="K1" s="1"/>
      <c r="L1" s="1"/>
      <c r="M1" s="1"/>
      <c r="N1" s="1"/>
      <c r="O1" s="1"/>
      <c r="P1" s="1"/>
      <c r="Q1" s="1"/>
      <c r="R1" s="1"/>
      <c r="S1" s="1"/>
      <c r="T1" s="1"/>
      <c r="U1" s="1"/>
      <c r="V1" s="1"/>
    </row>
    <row r="2" spans="1:22" ht="27.15" customHeight="1">
      <c r="A2" s="11" t="s">
        <v>0</v>
      </c>
      <c r="B2" s="12"/>
      <c r="C2" s="12"/>
      <c r="D2" s="12"/>
      <c r="E2" s="12"/>
      <c r="F2" s="12"/>
      <c r="G2" s="12"/>
      <c r="H2" s="12"/>
      <c r="I2" s="1"/>
      <c r="J2" s="1"/>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1</v>
      </c>
      <c r="B4" s="2" t="s">
        <v>2</v>
      </c>
      <c r="C4" s="1"/>
      <c r="D4" s="1"/>
      <c r="E4" s="1"/>
      <c r="F4" s="1"/>
      <c r="G4" s="1"/>
      <c r="H4" s="1"/>
      <c r="I4" s="1"/>
      <c r="J4" s="1"/>
      <c r="K4" s="1"/>
      <c r="L4" s="1"/>
      <c r="M4" s="1"/>
      <c r="N4" s="1"/>
      <c r="O4" s="1"/>
      <c r="P4" s="1"/>
      <c r="Q4" s="1"/>
      <c r="R4" s="1"/>
      <c r="S4" s="1"/>
      <c r="T4" s="1"/>
      <c r="U4" s="1"/>
      <c r="V4" s="1"/>
    </row>
    <row r="5" spans="1:22">
      <c r="A5" s="3" t="s">
        <v>3</v>
      </c>
      <c r="B5" s="3" t="s">
        <v>4</v>
      </c>
      <c r="C5" s="1"/>
      <c r="D5" s="1"/>
      <c r="E5" s="1"/>
      <c r="F5" s="1"/>
      <c r="G5" s="1"/>
      <c r="H5" s="1"/>
      <c r="I5" s="1"/>
      <c r="J5" s="1"/>
      <c r="K5" s="1"/>
      <c r="L5" s="1"/>
      <c r="M5" s="1"/>
      <c r="N5" s="1"/>
      <c r="O5" s="1"/>
      <c r="P5" s="1"/>
      <c r="Q5" s="1"/>
      <c r="R5" s="1"/>
      <c r="S5" s="1"/>
      <c r="T5" s="1"/>
      <c r="U5" s="1"/>
      <c r="V5" s="1"/>
    </row>
    <row r="6" spans="1:22" ht="22.8">
      <c r="A6" s="3" t="s">
        <v>5</v>
      </c>
      <c r="B6" s="3" t="s">
        <v>6</v>
      </c>
      <c r="C6" s="1"/>
      <c r="D6" s="1"/>
      <c r="E6" s="1"/>
      <c r="F6" s="1"/>
      <c r="G6" s="1"/>
      <c r="H6" s="1"/>
      <c r="I6" s="1"/>
      <c r="J6" s="1"/>
      <c r="K6" s="1"/>
      <c r="L6" s="1"/>
      <c r="M6" s="1"/>
      <c r="N6" s="1"/>
      <c r="O6" s="1"/>
      <c r="P6" s="1"/>
      <c r="Q6" s="1"/>
      <c r="R6" s="1"/>
      <c r="S6" s="1"/>
      <c r="T6" s="1"/>
      <c r="U6" s="1"/>
      <c r="V6" s="1"/>
    </row>
    <row r="7" spans="1:22">
      <c r="A7" s="3" t="s">
        <v>7</v>
      </c>
      <c r="B7" s="3" t="s">
        <v>8</v>
      </c>
      <c r="C7" s="1"/>
      <c r="D7" s="1"/>
      <c r="E7" s="1"/>
      <c r="F7" s="1"/>
      <c r="G7" s="1"/>
      <c r="H7" s="1"/>
      <c r="I7" s="1"/>
      <c r="J7" s="1"/>
      <c r="K7" s="1"/>
      <c r="L7" s="1"/>
      <c r="M7" s="1"/>
      <c r="N7" s="1"/>
      <c r="O7" s="1"/>
      <c r="P7" s="1"/>
      <c r="Q7" s="1"/>
      <c r="R7" s="1"/>
      <c r="S7" s="1"/>
      <c r="T7" s="1"/>
      <c r="U7" s="1"/>
      <c r="V7" s="1"/>
    </row>
    <row r="8" spans="1:22" ht="22.8">
      <c r="A8" s="3" t="s">
        <v>9</v>
      </c>
      <c r="B8" s="3" t="s">
        <v>10</v>
      </c>
      <c r="C8" s="1"/>
      <c r="D8" s="1"/>
      <c r="E8" s="1"/>
      <c r="F8" s="1"/>
      <c r="G8" s="1"/>
      <c r="H8" s="1"/>
      <c r="I8" s="1"/>
      <c r="J8" s="1"/>
      <c r="K8" s="1"/>
      <c r="L8" s="1"/>
      <c r="M8" s="1"/>
      <c r="N8" s="1"/>
      <c r="O8" s="1"/>
      <c r="P8" s="1"/>
      <c r="Q8" s="1"/>
      <c r="R8" s="1"/>
      <c r="S8" s="1"/>
      <c r="T8" s="1"/>
      <c r="U8" s="1"/>
      <c r="V8" s="1"/>
    </row>
    <row r="9" spans="1:22">
      <c r="A9" s="3" t="s">
        <v>11</v>
      </c>
      <c r="B9" s="3" t="s">
        <v>12</v>
      </c>
      <c r="C9" s="1"/>
      <c r="D9" s="1"/>
      <c r="E9" s="1"/>
      <c r="F9" s="1"/>
      <c r="G9" s="1"/>
      <c r="H9" s="1"/>
      <c r="I9" s="1"/>
      <c r="J9" s="1"/>
      <c r="K9" s="1"/>
      <c r="L9" s="1"/>
      <c r="M9" s="1"/>
      <c r="N9" s="1"/>
      <c r="O9" s="1"/>
      <c r="P9" s="1"/>
      <c r="Q9" s="1"/>
      <c r="R9" s="1"/>
      <c r="S9" s="1"/>
      <c r="T9" s="1"/>
      <c r="U9" s="1"/>
      <c r="V9" s="1"/>
    </row>
    <row r="10" spans="1:22" ht="22.8">
      <c r="A10" s="3" t="s">
        <v>13</v>
      </c>
      <c r="B10" s="3" t="s">
        <v>14</v>
      </c>
      <c r="C10" s="1"/>
      <c r="D10" s="1"/>
      <c r="E10" s="1"/>
      <c r="F10" s="1"/>
      <c r="G10" s="1"/>
      <c r="H10" s="1"/>
      <c r="I10" s="1"/>
      <c r="J10" s="1"/>
      <c r="K10" s="1"/>
      <c r="L10" s="1"/>
      <c r="M10" s="1"/>
      <c r="N10" s="1"/>
      <c r="O10" s="1"/>
      <c r="P10" s="1"/>
      <c r="Q10" s="1"/>
      <c r="R10" s="1"/>
      <c r="S10" s="1"/>
      <c r="T10" s="1"/>
      <c r="U10" s="1"/>
      <c r="V10" s="1"/>
    </row>
    <row r="11" spans="1:22">
      <c r="A11" s="3" t="s">
        <v>15</v>
      </c>
      <c r="B11" s="3" t="s">
        <v>16</v>
      </c>
      <c r="C11" s="1"/>
      <c r="D11" s="1"/>
      <c r="E11" s="1"/>
      <c r="F11" s="1"/>
      <c r="G11" s="1"/>
      <c r="H11" s="1"/>
      <c r="I11" s="1"/>
      <c r="J11" s="1"/>
      <c r="K11" s="1"/>
      <c r="L11" s="1"/>
      <c r="M11" s="1"/>
      <c r="N11" s="1"/>
      <c r="O11" s="1"/>
      <c r="P11" s="1"/>
      <c r="Q11" s="1"/>
      <c r="R11" s="1"/>
      <c r="S11" s="1"/>
      <c r="T11" s="1"/>
      <c r="U11" s="1"/>
      <c r="V11" s="1"/>
    </row>
    <row r="12" spans="1:22">
      <c r="A12" s="3" t="s">
        <v>17</v>
      </c>
      <c r="B12" s="3" t="s">
        <v>18</v>
      </c>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00"/>
  <sheetViews>
    <sheetView workbookViewId="0">
      <selection activeCell="C33" sqref="C33"/>
    </sheetView>
  </sheetViews>
  <sheetFormatPr baseColWidth="10" defaultColWidth="8.88671875" defaultRowHeight="14.4"/>
  <cols>
    <col min="1" max="1" width="10" customWidth="1"/>
    <col min="2" max="2" width="18" customWidth="1"/>
    <col min="3" max="3" width="40" customWidth="1"/>
    <col min="4" max="5" width="34" customWidth="1"/>
    <col min="6" max="6" width="58" customWidth="1"/>
    <col min="7" max="7" width="14" customWidth="1"/>
    <col min="8" max="8" width="16" customWidth="1"/>
    <col min="9" max="9" width="18" customWidth="1"/>
    <col min="10" max="10" width="20" customWidth="1"/>
    <col min="11" max="11" width="28" customWidth="1"/>
  </cols>
  <sheetData>
    <row r="1" spans="1:22" ht="22.35" customHeight="1">
      <c r="A1" s="9" t="s">
        <v>19</v>
      </c>
      <c r="B1" s="10"/>
      <c r="C1" s="10"/>
      <c r="D1" s="10"/>
      <c r="E1" s="10"/>
      <c r="F1" s="10"/>
      <c r="G1" s="10"/>
      <c r="H1" s="10"/>
      <c r="I1" s="10"/>
      <c r="J1" s="10"/>
      <c r="K1" s="10"/>
      <c r="L1" s="1"/>
      <c r="M1" s="1"/>
      <c r="N1" s="1"/>
      <c r="O1" s="1"/>
      <c r="P1" s="1"/>
      <c r="Q1" s="1"/>
      <c r="R1" s="1"/>
      <c r="S1" s="1"/>
      <c r="T1" s="1"/>
      <c r="U1" s="1"/>
      <c r="V1" s="1"/>
    </row>
    <row r="2" spans="1:22" ht="27.15" customHeight="1">
      <c r="A2" s="11" t="s">
        <v>20</v>
      </c>
      <c r="B2" s="12"/>
      <c r="C2" s="12"/>
      <c r="D2" s="12"/>
      <c r="E2" s="12"/>
      <c r="F2" s="12"/>
      <c r="G2" s="12"/>
      <c r="H2" s="12"/>
      <c r="I2" s="12"/>
      <c r="J2" s="12"/>
      <c r="K2" s="12"/>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22</v>
      </c>
      <c r="C4" s="2" t="s">
        <v>23</v>
      </c>
      <c r="D4" s="2" t="s">
        <v>24</v>
      </c>
      <c r="E4" s="2" t="s">
        <v>25</v>
      </c>
      <c r="F4" s="2" t="s">
        <v>26</v>
      </c>
      <c r="G4" s="2" t="s">
        <v>27</v>
      </c>
      <c r="H4" s="2" t="s">
        <v>28</v>
      </c>
      <c r="I4" s="2" t="s">
        <v>29</v>
      </c>
      <c r="J4" s="2" t="s">
        <v>30</v>
      </c>
      <c r="K4" s="2" t="s">
        <v>31</v>
      </c>
      <c r="L4" s="1"/>
      <c r="M4" s="1"/>
      <c r="N4" s="1"/>
      <c r="O4" s="1"/>
      <c r="P4" s="1"/>
      <c r="Q4" s="1"/>
      <c r="R4" s="1"/>
      <c r="S4" s="1"/>
      <c r="T4" s="1"/>
      <c r="U4" s="1"/>
      <c r="V4" s="1"/>
    </row>
    <row r="5" spans="1:22">
      <c r="A5" s="3" t="s">
        <v>32</v>
      </c>
      <c r="B5" s="3" t="s">
        <v>33</v>
      </c>
      <c r="C5" s="3" t="s">
        <v>34</v>
      </c>
      <c r="D5" s="3" t="s">
        <v>35</v>
      </c>
      <c r="E5" s="3" t="s">
        <v>36</v>
      </c>
      <c r="F5" s="3" t="s">
        <v>37</v>
      </c>
      <c r="G5" s="3" t="s">
        <v>38</v>
      </c>
      <c r="H5" s="3" t="s">
        <v>39</v>
      </c>
      <c r="I5" s="3" t="s">
        <v>40</v>
      </c>
      <c r="J5" s="3"/>
      <c r="K5" s="3"/>
      <c r="L5" s="1"/>
      <c r="M5" s="1"/>
      <c r="N5" s="1"/>
      <c r="O5" s="1"/>
      <c r="P5" s="1"/>
      <c r="Q5" s="1"/>
      <c r="R5" s="1"/>
      <c r="S5" s="1"/>
      <c r="T5" s="1"/>
      <c r="U5" s="1"/>
      <c r="V5" s="1"/>
    </row>
    <row r="6" spans="1:22">
      <c r="A6" s="3" t="s">
        <v>41</v>
      </c>
      <c r="B6" s="3" t="s">
        <v>42</v>
      </c>
      <c r="C6" s="3" t="s">
        <v>43</v>
      </c>
      <c r="D6" s="3" t="s">
        <v>44</v>
      </c>
      <c r="E6" s="3" t="s">
        <v>45</v>
      </c>
      <c r="F6" s="3" t="s">
        <v>46</v>
      </c>
      <c r="G6" s="3" t="s">
        <v>38</v>
      </c>
      <c r="H6" s="3" t="s">
        <v>39</v>
      </c>
      <c r="I6" s="3" t="s">
        <v>40</v>
      </c>
      <c r="J6" s="3"/>
      <c r="K6" s="3"/>
      <c r="L6" s="1"/>
      <c r="M6" s="1"/>
      <c r="N6" s="1"/>
      <c r="O6" s="1"/>
      <c r="P6" s="1"/>
      <c r="Q6" s="1"/>
      <c r="R6" s="1"/>
      <c r="S6" s="1"/>
      <c r="T6" s="1"/>
      <c r="U6" s="1"/>
      <c r="V6" s="1"/>
    </row>
    <row r="7" spans="1:22">
      <c r="A7" s="3" t="s">
        <v>47</v>
      </c>
      <c r="B7" s="3" t="s">
        <v>48</v>
      </c>
      <c r="C7" s="3" t="s">
        <v>49</v>
      </c>
      <c r="D7" s="3" t="s">
        <v>50</v>
      </c>
      <c r="E7" s="3" t="s">
        <v>51</v>
      </c>
      <c r="F7" s="3" t="s">
        <v>52</v>
      </c>
      <c r="G7" s="3" t="s">
        <v>38</v>
      </c>
      <c r="H7" s="3" t="s">
        <v>39</v>
      </c>
      <c r="I7" s="3" t="s">
        <v>40</v>
      </c>
      <c r="J7" s="3"/>
      <c r="K7" s="3"/>
      <c r="L7" s="1"/>
      <c r="M7" s="1"/>
      <c r="N7" s="1"/>
      <c r="O7" s="1"/>
      <c r="P7" s="1"/>
      <c r="Q7" s="1"/>
      <c r="R7" s="1"/>
      <c r="S7" s="1"/>
      <c r="T7" s="1"/>
      <c r="U7" s="1"/>
      <c r="V7" s="1"/>
    </row>
    <row r="8" spans="1:22">
      <c r="A8" s="3" t="s">
        <v>53</v>
      </c>
      <c r="B8" s="3" t="s">
        <v>54</v>
      </c>
      <c r="C8" s="3" t="s">
        <v>55</v>
      </c>
      <c r="D8" s="3" t="s">
        <v>56</v>
      </c>
      <c r="E8" s="3" t="s">
        <v>57</v>
      </c>
      <c r="F8" s="3" t="s">
        <v>58</v>
      </c>
      <c r="G8" s="3" t="s">
        <v>38</v>
      </c>
      <c r="H8" s="3" t="s">
        <v>39</v>
      </c>
      <c r="I8" s="3" t="s">
        <v>40</v>
      </c>
      <c r="J8" s="3"/>
      <c r="K8" s="3"/>
      <c r="L8" s="1"/>
      <c r="M8" s="1"/>
      <c r="N8" s="1"/>
      <c r="O8" s="1"/>
      <c r="P8" s="1"/>
      <c r="Q8" s="1"/>
      <c r="R8" s="1"/>
      <c r="S8" s="1"/>
      <c r="T8" s="1"/>
      <c r="U8" s="1"/>
      <c r="V8" s="1"/>
    </row>
    <row r="9" spans="1:22">
      <c r="A9" s="3" t="s">
        <v>59</v>
      </c>
      <c r="B9" s="3" t="s">
        <v>60</v>
      </c>
      <c r="C9" s="3" t="s">
        <v>61</v>
      </c>
      <c r="D9" s="3" t="s">
        <v>62</v>
      </c>
      <c r="E9" s="3" t="s">
        <v>63</v>
      </c>
      <c r="F9" s="3" t="s">
        <v>64</v>
      </c>
      <c r="G9" s="3" t="s">
        <v>65</v>
      </c>
      <c r="H9" s="3" t="s">
        <v>39</v>
      </c>
      <c r="I9" s="3" t="s">
        <v>40</v>
      </c>
      <c r="J9" s="3"/>
      <c r="K9" s="3"/>
      <c r="L9" s="1"/>
      <c r="M9" s="1"/>
      <c r="N9" s="1"/>
      <c r="O9" s="1"/>
      <c r="P9" s="1"/>
      <c r="Q9" s="1"/>
      <c r="R9" s="1"/>
      <c r="S9" s="1"/>
      <c r="T9" s="1"/>
      <c r="U9" s="1"/>
      <c r="V9" s="1"/>
    </row>
    <row r="10" spans="1:22">
      <c r="A10" s="3" t="s">
        <v>66</v>
      </c>
      <c r="B10" s="3" t="s">
        <v>67</v>
      </c>
      <c r="C10" s="3" t="s">
        <v>68</v>
      </c>
      <c r="D10" s="3" t="s">
        <v>69</v>
      </c>
      <c r="E10" s="3" t="s">
        <v>70</v>
      </c>
      <c r="F10" s="3" t="s">
        <v>71</v>
      </c>
      <c r="G10" s="3" t="s">
        <v>38</v>
      </c>
      <c r="H10" s="3" t="s">
        <v>39</v>
      </c>
      <c r="I10" s="3" t="s">
        <v>40</v>
      </c>
      <c r="J10" s="3"/>
      <c r="K10" s="3"/>
      <c r="L10" s="1"/>
      <c r="M10" s="1"/>
      <c r="N10" s="1"/>
      <c r="O10" s="1"/>
      <c r="P10" s="1"/>
      <c r="Q10" s="1"/>
      <c r="R10" s="1"/>
      <c r="S10" s="1"/>
      <c r="T10" s="1"/>
      <c r="U10" s="1"/>
      <c r="V10" s="1"/>
    </row>
    <row r="11" spans="1:22">
      <c r="A11" s="3" t="s">
        <v>72</v>
      </c>
      <c r="B11" s="3" t="s">
        <v>73</v>
      </c>
      <c r="C11" s="3" t="s">
        <v>74</v>
      </c>
      <c r="D11" s="3" t="s">
        <v>75</v>
      </c>
      <c r="E11" s="3" t="s">
        <v>76</v>
      </c>
      <c r="F11" s="3" t="s">
        <v>77</v>
      </c>
      <c r="G11" s="3" t="s">
        <v>38</v>
      </c>
      <c r="H11" s="3" t="s">
        <v>39</v>
      </c>
      <c r="I11" s="3" t="s">
        <v>40</v>
      </c>
      <c r="J11" s="3"/>
      <c r="K11" s="3"/>
      <c r="L11" s="1"/>
      <c r="M11" s="1"/>
      <c r="N11" s="1"/>
      <c r="O11" s="1"/>
      <c r="P11" s="1"/>
      <c r="Q11" s="1"/>
      <c r="R11" s="1"/>
      <c r="S11" s="1"/>
      <c r="T11" s="1"/>
      <c r="U11" s="1"/>
      <c r="V11" s="1"/>
    </row>
    <row r="12" spans="1:22">
      <c r="A12" s="3" t="s">
        <v>78</v>
      </c>
      <c r="B12" s="3" t="s">
        <v>79</v>
      </c>
      <c r="C12" s="3" t="s">
        <v>80</v>
      </c>
      <c r="D12" s="3" t="s">
        <v>81</v>
      </c>
      <c r="E12" s="3" t="s">
        <v>82</v>
      </c>
      <c r="F12" s="3" t="s">
        <v>83</v>
      </c>
      <c r="G12" s="3" t="s">
        <v>65</v>
      </c>
      <c r="H12" s="3" t="s">
        <v>84</v>
      </c>
      <c r="I12" s="3" t="s">
        <v>40</v>
      </c>
      <c r="J12" s="3"/>
      <c r="K12" s="3"/>
      <c r="L12" s="1"/>
      <c r="M12" s="1"/>
      <c r="N12" s="1"/>
      <c r="O12" s="1"/>
      <c r="P12" s="1"/>
      <c r="Q12" s="1"/>
      <c r="R12" s="1"/>
      <c r="S12" s="1"/>
      <c r="T12" s="1"/>
      <c r="U12" s="1"/>
      <c r="V12" s="1"/>
    </row>
    <row r="13" spans="1:22">
      <c r="A13" s="3" t="s">
        <v>85</v>
      </c>
      <c r="B13" s="3" t="s">
        <v>86</v>
      </c>
      <c r="C13" s="3" t="s">
        <v>87</v>
      </c>
      <c r="D13" s="3" t="s">
        <v>88</v>
      </c>
      <c r="E13" s="3" t="s">
        <v>89</v>
      </c>
      <c r="F13" s="3" t="s">
        <v>90</v>
      </c>
      <c r="G13" s="3" t="s">
        <v>38</v>
      </c>
      <c r="H13" s="3" t="s">
        <v>84</v>
      </c>
      <c r="I13" s="3" t="s">
        <v>40</v>
      </c>
      <c r="J13" s="3"/>
      <c r="K13" s="3"/>
      <c r="L13" s="1"/>
      <c r="M13" s="1"/>
      <c r="N13" s="1"/>
      <c r="O13" s="1"/>
      <c r="P13" s="1"/>
      <c r="Q13" s="1"/>
      <c r="R13" s="1"/>
      <c r="S13" s="1"/>
      <c r="T13" s="1"/>
      <c r="U13" s="1"/>
      <c r="V13" s="1"/>
    </row>
    <row r="14" spans="1:22">
      <c r="A14" s="3" t="s">
        <v>91</v>
      </c>
      <c r="B14" s="3" t="s">
        <v>92</v>
      </c>
      <c r="C14" s="3" t="s">
        <v>93</v>
      </c>
      <c r="D14" s="3" t="s">
        <v>94</v>
      </c>
      <c r="E14" s="3" t="s">
        <v>95</v>
      </c>
      <c r="F14" s="3" t="s">
        <v>96</v>
      </c>
      <c r="G14" s="3" t="s">
        <v>38</v>
      </c>
      <c r="H14" s="3" t="s">
        <v>39</v>
      </c>
      <c r="I14" s="3" t="s">
        <v>40</v>
      </c>
      <c r="J14" s="3"/>
      <c r="K14" s="3"/>
      <c r="L14" s="1"/>
      <c r="M14" s="1"/>
      <c r="N14" s="1"/>
      <c r="O14" s="1"/>
      <c r="P14" s="1"/>
      <c r="Q14" s="1"/>
      <c r="R14" s="1"/>
      <c r="S14" s="1"/>
      <c r="T14" s="1"/>
      <c r="U14" s="1"/>
      <c r="V14" s="1"/>
    </row>
    <row r="15" spans="1:22">
      <c r="A15" s="3" t="s">
        <v>97</v>
      </c>
      <c r="B15" s="3" t="s">
        <v>98</v>
      </c>
      <c r="C15" s="3" t="s">
        <v>99</v>
      </c>
      <c r="D15" s="3" t="s">
        <v>100</v>
      </c>
      <c r="E15" s="3" t="s">
        <v>101</v>
      </c>
      <c r="F15" s="3" t="s">
        <v>102</v>
      </c>
      <c r="G15" s="3" t="s">
        <v>38</v>
      </c>
      <c r="H15" s="3" t="s">
        <v>39</v>
      </c>
      <c r="I15" s="3" t="s">
        <v>40</v>
      </c>
      <c r="J15" s="3"/>
      <c r="K15" s="3"/>
      <c r="L15" s="1"/>
      <c r="M15" s="1"/>
      <c r="N15" s="1"/>
      <c r="O15" s="1"/>
      <c r="P15" s="1"/>
      <c r="Q15" s="1"/>
      <c r="R15" s="1"/>
      <c r="S15" s="1"/>
      <c r="T15" s="1"/>
      <c r="U15" s="1"/>
      <c r="V15" s="1"/>
    </row>
    <row r="16" spans="1:22">
      <c r="A16" s="3" t="s">
        <v>103</v>
      </c>
      <c r="B16" s="3" t="s">
        <v>104</v>
      </c>
      <c r="C16" s="3" t="s">
        <v>105</v>
      </c>
      <c r="D16" s="3" t="s">
        <v>106</v>
      </c>
      <c r="E16" s="3" t="s">
        <v>107</v>
      </c>
      <c r="F16" s="3" t="s">
        <v>108</v>
      </c>
      <c r="G16" s="3" t="s">
        <v>38</v>
      </c>
      <c r="H16" s="3" t="s">
        <v>84</v>
      </c>
      <c r="I16" s="3" t="s">
        <v>40</v>
      </c>
      <c r="J16" s="3"/>
      <c r="K16" s="3"/>
      <c r="L16" s="1"/>
      <c r="M16" s="1"/>
      <c r="N16" s="1"/>
      <c r="O16" s="1"/>
      <c r="P16" s="1"/>
      <c r="Q16" s="1"/>
      <c r="R16" s="1"/>
      <c r="S16" s="1"/>
      <c r="T16" s="1"/>
      <c r="U16" s="1"/>
      <c r="V16" s="1"/>
    </row>
    <row r="17" spans="1:22">
      <c r="A17" s="3" t="s">
        <v>109</v>
      </c>
      <c r="B17" s="3" t="s">
        <v>110</v>
      </c>
      <c r="C17" s="3" t="s">
        <v>111</v>
      </c>
      <c r="D17" s="3" t="s">
        <v>112</v>
      </c>
      <c r="E17" s="3" t="s">
        <v>113</v>
      </c>
      <c r="F17" s="3" t="s">
        <v>114</v>
      </c>
      <c r="G17" s="3" t="s">
        <v>65</v>
      </c>
      <c r="H17" s="3" t="s">
        <v>39</v>
      </c>
      <c r="I17" s="3" t="s">
        <v>40</v>
      </c>
      <c r="J17" s="3"/>
      <c r="K17" s="3"/>
      <c r="L17" s="1"/>
      <c r="M17" s="1"/>
      <c r="N17" s="1"/>
      <c r="O17" s="1"/>
      <c r="P17" s="1"/>
      <c r="Q17" s="1"/>
      <c r="R17" s="1"/>
      <c r="S17" s="1"/>
      <c r="T17" s="1"/>
      <c r="U17" s="1"/>
      <c r="V17" s="1"/>
    </row>
    <row r="18" spans="1:22">
      <c r="A18" s="3" t="s">
        <v>115</v>
      </c>
      <c r="B18" s="3" t="s">
        <v>110</v>
      </c>
      <c r="C18" s="3" t="s">
        <v>116</v>
      </c>
      <c r="D18" s="3" t="s">
        <v>112</v>
      </c>
      <c r="E18" s="3" t="s">
        <v>117</v>
      </c>
      <c r="F18" s="3" t="s">
        <v>114</v>
      </c>
      <c r="G18" s="3" t="s">
        <v>65</v>
      </c>
      <c r="H18" s="3" t="s">
        <v>39</v>
      </c>
      <c r="I18" s="3" t="s">
        <v>40</v>
      </c>
      <c r="J18" s="3"/>
      <c r="K18" s="3"/>
      <c r="L18" s="1"/>
      <c r="M18" s="1"/>
      <c r="N18" s="1"/>
      <c r="O18" s="1"/>
      <c r="P18" s="1"/>
      <c r="Q18" s="1"/>
      <c r="R18" s="1"/>
      <c r="S18" s="1"/>
      <c r="T18" s="1"/>
      <c r="U18" s="1"/>
      <c r="V18" s="1"/>
    </row>
    <row r="19" spans="1:22">
      <c r="A19" s="3" t="s">
        <v>118</v>
      </c>
      <c r="B19" s="3" t="s">
        <v>119</v>
      </c>
      <c r="C19" s="3" t="s">
        <v>120</v>
      </c>
      <c r="D19" s="3" t="s">
        <v>121</v>
      </c>
      <c r="E19" s="3" t="s">
        <v>122</v>
      </c>
      <c r="F19" s="3" t="s">
        <v>123</v>
      </c>
      <c r="G19" s="3" t="s">
        <v>38</v>
      </c>
      <c r="H19" s="3" t="s">
        <v>39</v>
      </c>
      <c r="I19" s="3" t="s">
        <v>40</v>
      </c>
      <c r="J19" s="3"/>
      <c r="K19" s="3"/>
      <c r="L19" s="1"/>
      <c r="M19" s="1"/>
      <c r="N19" s="1"/>
      <c r="O19" s="1"/>
      <c r="P19" s="1"/>
      <c r="Q19" s="1"/>
      <c r="R19" s="1"/>
      <c r="S19" s="1"/>
      <c r="T19" s="1"/>
      <c r="U19" s="1"/>
      <c r="V19" s="1"/>
    </row>
    <row r="20" spans="1:22">
      <c r="A20" s="3" t="s">
        <v>124</v>
      </c>
      <c r="B20" s="3" t="s">
        <v>125</v>
      </c>
      <c r="C20" s="3" t="s">
        <v>126</v>
      </c>
      <c r="D20" s="3" t="s">
        <v>127</v>
      </c>
      <c r="E20" s="3" t="s">
        <v>128</v>
      </c>
      <c r="F20" s="3" t="s">
        <v>129</v>
      </c>
      <c r="G20" s="3" t="s">
        <v>65</v>
      </c>
      <c r="H20" s="3" t="s">
        <v>39</v>
      </c>
      <c r="I20" s="3" t="s">
        <v>40</v>
      </c>
      <c r="J20" s="3"/>
      <c r="K20" s="3"/>
      <c r="L20" s="1"/>
      <c r="M20" s="1"/>
      <c r="N20" s="1"/>
      <c r="O20" s="1"/>
      <c r="P20" s="1"/>
      <c r="Q20" s="1"/>
      <c r="R20" s="1"/>
      <c r="S20" s="1"/>
      <c r="T20" s="1"/>
      <c r="U20" s="1"/>
      <c r="V20" s="1"/>
    </row>
    <row r="21" spans="1:22">
      <c r="A21" s="3" t="s">
        <v>130</v>
      </c>
      <c r="B21" s="3" t="s">
        <v>73</v>
      </c>
      <c r="C21" s="3" t="s">
        <v>131</v>
      </c>
      <c r="D21" s="3" t="s">
        <v>132</v>
      </c>
      <c r="E21" s="3" t="s">
        <v>133</v>
      </c>
      <c r="F21" s="3" t="s">
        <v>134</v>
      </c>
      <c r="G21" s="3" t="s">
        <v>38</v>
      </c>
      <c r="H21" s="3" t="s">
        <v>39</v>
      </c>
      <c r="I21" s="3" t="s">
        <v>40</v>
      </c>
      <c r="J21" s="3"/>
      <c r="K21" s="3"/>
      <c r="L21" s="1"/>
      <c r="M21" s="1"/>
      <c r="N21" s="1"/>
      <c r="O21" s="1"/>
      <c r="P21" s="1"/>
      <c r="Q21" s="1"/>
      <c r="R21" s="1"/>
      <c r="S21" s="1"/>
      <c r="T21" s="1"/>
      <c r="U21" s="1"/>
      <c r="V21" s="1"/>
    </row>
    <row r="22" spans="1:22">
      <c r="A22" s="3" t="s">
        <v>135</v>
      </c>
      <c r="B22" s="3" t="s">
        <v>136</v>
      </c>
      <c r="C22" s="3" t="s">
        <v>137</v>
      </c>
      <c r="D22" s="3" t="s">
        <v>138</v>
      </c>
      <c r="E22" s="3" t="s">
        <v>139</v>
      </c>
      <c r="F22" s="3" t="s">
        <v>140</v>
      </c>
      <c r="G22" s="3" t="s">
        <v>65</v>
      </c>
      <c r="H22" s="3" t="s">
        <v>39</v>
      </c>
      <c r="I22" s="3" t="s">
        <v>40</v>
      </c>
      <c r="J22" s="3"/>
      <c r="K22" s="3"/>
      <c r="L22" s="1"/>
      <c r="M22" s="1"/>
      <c r="N22" s="1"/>
      <c r="O22" s="1"/>
      <c r="P22" s="1"/>
      <c r="Q22" s="1"/>
      <c r="R22" s="1"/>
      <c r="S22" s="1"/>
      <c r="T22" s="1"/>
      <c r="U22" s="1"/>
      <c r="V22" s="1"/>
    </row>
    <row r="23" spans="1:22">
      <c r="A23" s="3" t="s">
        <v>141</v>
      </c>
      <c r="B23" s="3" t="s">
        <v>142</v>
      </c>
      <c r="C23" s="3" t="s">
        <v>143</v>
      </c>
      <c r="D23" s="3" t="s">
        <v>144</v>
      </c>
      <c r="E23" s="3" t="s">
        <v>145</v>
      </c>
      <c r="F23" s="3" t="s">
        <v>146</v>
      </c>
      <c r="G23" s="3" t="s">
        <v>65</v>
      </c>
      <c r="H23" s="3" t="s">
        <v>39</v>
      </c>
      <c r="I23" s="3" t="s">
        <v>40</v>
      </c>
      <c r="J23" s="3"/>
      <c r="K23" s="3"/>
      <c r="L23" s="1"/>
      <c r="M23" s="1"/>
      <c r="N23" s="1"/>
      <c r="O23" s="1"/>
      <c r="P23" s="1"/>
      <c r="Q23" s="1"/>
      <c r="R23" s="1"/>
      <c r="S23" s="1"/>
      <c r="T23" s="1"/>
      <c r="U23" s="1"/>
      <c r="V23" s="1"/>
    </row>
    <row r="24" spans="1:22">
      <c r="A24" s="3" t="s">
        <v>147</v>
      </c>
      <c r="B24" s="3" t="s">
        <v>148</v>
      </c>
      <c r="C24" s="3" t="s">
        <v>149</v>
      </c>
      <c r="D24" s="3" t="s">
        <v>150</v>
      </c>
      <c r="E24" s="3" t="s">
        <v>151</v>
      </c>
      <c r="F24" s="3" t="s">
        <v>152</v>
      </c>
      <c r="G24" s="3" t="s">
        <v>38</v>
      </c>
      <c r="H24" s="3" t="s">
        <v>84</v>
      </c>
      <c r="I24" s="3" t="s">
        <v>40</v>
      </c>
      <c r="J24" s="3"/>
      <c r="K24" s="3"/>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K1"/>
    <mergeCell ref="A2:K2"/>
  </mergeCells>
  <conditionalFormatting sqref="I5:I24">
    <cfRule type="expression" dxfId="11" priority="1">
      <formula>$I5="Conforme"</formula>
    </cfRule>
    <cfRule type="expression" dxfId="10" priority="2">
      <formula>$I5="Non conforme"</formula>
    </cfRule>
    <cfRule type="expression" dxfId="9" priority="3">
      <formula>$I5="Bloqué"</formula>
    </cfRule>
  </conditionalFormatting>
  <dataValidations count="1">
    <dataValidation type="list" sqref="I5:I24" xr:uid="{00000000-0002-0000-0100-000000000000}">
      <formula1>"À exécuter,Conforme,Non conforme,Bloqué,N/A"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00"/>
  <sheetViews>
    <sheetView workbookViewId="0">
      <selection sqref="A1:V1"/>
    </sheetView>
  </sheetViews>
  <sheetFormatPr baseColWidth="10" defaultColWidth="8.88671875" defaultRowHeight="14.4"/>
  <cols>
    <col min="1" max="1" width="10" customWidth="1"/>
    <col min="2" max="2" width="38" customWidth="1"/>
    <col min="3" max="8" width="8" customWidth="1"/>
    <col min="9" max="9" width="20" customWidth="1"/>
    <col min="10" max="10" width="16" customWidth="1"/>
    <col min="11" max="11" width="12" customWidth="1"/>
    <col min="12" max="12" width="14" customWidth="1"/>
    <col min="13" max="13" width="12" customWidth="1"/>
    <col min="14" max="14" width="22" customWidth="1"/>
    <col min="15" max="15" width="16" customWidth="1"/>
    <col min="16" max="16" width="12" customWidth="1"/>
    <col min="17" max="17" width="14" customWidth="1"/>
    <col min="18" max="18" width="40" customWidth="1"/>
  </cols>
  <sheetData>
    <row r="1" spans="1:22" ht="22.35" customHeight="1">
      <c r="A1" s="9" t="s">
        <v>153</v>
      </c>
      <c r="B1" s="10"/>
      <c r="C1" s="10"/>
      <c r="D1" s="10"/>
      <c r="E1" s="10"/>
      <c r="F1" s="10"/>
      <c r="G1" s="10"/>
      <c r="H1" s="10"/>
      <c r="I1" s="10"/>
      <c r="J1" s="10"/>
      <c r="K1" s="10"/>
      <c r="L1" s="10"/>
      <c r="M1" s="10"/>
      <c r="N1" s="10"/>
      <c r="O1" s="10"/>
      <c r="P1" s="10"/>
      <c r="Q1" s="10"/>
      <c r="R1" s="10"/>
      <c r="S1" s="10"/>
      <c r="T1" s="10"/>
      <c r="U1" s="10"/>
      <c r="V1" s="10"/>
    </row>
    <row r="2" spans="1:22" ht="27.15" customHeight="1">
      <c r="A2" s="11" t="s">
        <v>154</v>
      </c>
      <c r="B2" s="12"/>
      <c r="C2" s="12"/>
      <c r="D2" s="12"/>
      <c r="E2" s="12"/>
      <c r="F2" s="12"/>
      <c r="G2" s="12"/>
      <c r="H2" s="12"/>
      <c r="I2" s="12"/>
      <c r="J2" s="12"/>
      <c r="K2" s="12"/>
      <c r="L2" s="12"/>
      <c r="M2" s="12"/>
      <c r="N2" s="12"/>
      <c r="O2" s="12"/>
      <c r="P2" s="12"/>
      <c r="Q2" s="12"/>
      <c r="R2" s="12"/>
      <c r="S2" s="12"/>
      <c r="T2" s="12"/>
      <c r="U2" s="12"/>
      <c r="V2" s="12"/>
    </row>
    <row r="3" spans="1:22">
      <c r="A3" s="1"/>
      <c r="B3" s="1"/>
      <c r="C3" s="1"/>
      <c r="D3" s="1"/>
      <c r="E3" s="1"/>
      <c r="F3" s="1"/>
      <c r="G3" s="1"/>
      <c r="H3" s="1"/>
      <c r="I3" s="1"/>
      <c r="J3" s="1"/>
      <c r="K3" s="1"/>
      <c r="L3" s="1"/>
      <c r="M3" s="1"/>
      <c r="N3" s="1"/>
      <c r="O3" s="1"/>
      <c r="P3" s="1"/>
      <c r="Q3" s="1"/>
      <c r="R3" s="1"/>
      <c r="S3" s="1"/>
      <c r="T3" s="1"/>
      <c r="U3" s="1"/>
      <c r="V3" s="1"/>
    </row>
    <row r="4" spans="1:22" ht="24" customHeight="1">
      <c r="A4" s="2" t="s">
        <v>155</v>
      </c>
      <c r="B4" s="2" t="s">
        <v>156</v>
      </c>
      <c r="C4" s="2" t="s">
        <v>157</v>
      </c>
      <c r="D4" s="2" t="s">
        <v>158</v>
      </c>
      <c r="E4" s="2" t="s">
        <v>159</v>
      </c>
      <c r="F4" s="2" t="s">
        <v>160</v>
      </c>
      <c r="G4" s="2" t="s">
        <v>161</v>
      </c>
      <c r="H4" s="2" t="s">
        <v>162</v>
      </c>
      <c r="I4" s="2" t="s">
        <v>163</v>
      </c>
      <c r="J4" s="2" t="s">
        <v>164</v>
      </c>
      <c r="K4" s="2" t="s">
        <v>110</v>
      </c>
      <c r="L4" s="2" t="s">
        <v>119</v>
      </c>
      <c r="M4" s="2" t="s">
        <v>73</v>
      </c>
      <c r="N4" s="2" t="s">
        <v>165</v>
      </c>
      <c r="O4" s="2" t="s">
        <v>166</v>
      </c>
      <c r="P4" s="2" t="s">
        <v>167</v>
      </c>
      <c r="Q4" s="2" t="s">
        <v>168</v>
      </c>
      <c r="R4" s="2" t="s">
        <v>169</v>
      </c>
      <c r="S4" s="1"/>
      <c r="T4" s="1"/>
      <c r="U4" s="1"/>
      <c r="V4" s="1"/>
    </row>
    <row r="5" spans="1:22">
      <c r="A5" s="3" t="s">
        <v>170</v>
      </c>
      <c r="B5" s="3" t="s">
        <v>171</v>
      </c>
      <c r="C5" s="3">
        <v>90</v>
      </c>
      <c r="D5" s="3">
        <v>70</v>
      </c>
      <c r="E5" s="3">
        <v>80</v>
      </c>
      <c r="F5" s="3">
        <v>75</v>
      </c>
      <c r="G5" s="3">
        <v>65</v>
      </c>
      <c r="H5" s="3">
        <v>60</v>
      </c>
      <c r="I5" s="4">
        <f>(IF(ISNUMBER(C5),C5*0.15,0)+IF(ISNUMBER(D5),D5*0.2,0)+IF(ISNUMBER(E5),E5*0.2,0)+IF(ISNUMBER(F5),F5*0.2,0)+IF(ISNUMBER(G5),G5*0.15,0)+IF(ISNUMBER(H5),H5*0.1,0))/(IF(ISNUMBER(C5),0.15,0)+IF(ISNUMBER(D5),0.2,0)+IF(ISNUMBER(E5),0.2,0)+IF(ISNUMBER(F5),0.2,0)+IF(ISNUMBER(G5),0.15,0)+IF(ISNUMBER(H5),0.1,0))</f>
        <v>74.25</v>
      </c>
      <c r="J5" s="5">
        <f>IF(M5="Non",ROUND(I5,0),"")</f>
        <v>74</v>
      </c>
      <c r="K5" s="3">
        <v>79.25</v>
      </c>
      <c r="L5" s="6">
        <v>1</v>
      </c>
      <c r="M5" s="3" t="s">
        <v>172</v>
      </c>
      <c r="N5" s="3" t="s">
        <v>173</v>
      </c>
      <c r="O5" s="4">
        <v>74.25</v>
      </c>
      <c r="P5" s="4">
        <v>1E-4</v>
      </c>
      <c r="Q5" s="3" t="str">
        <f>IF(ABS(I5-O5)&lt;=P5,"OK","ECART")</f>
        <v>OK</v>
      </c>
      <c r="R5" s="3" t="s">
        <v>174</v>
      </c>
      <c r="S5" s="1"/>
      <c r="T5" s="1"/>
      <c r="U5" s="1"/>
      <c r="V5" s="1"/>
    </row>
    <row r="6" spans="1:22">
      <c r="A6" s="3" t="s">
        <v>175</v>
      </c>
      <c r="B6" s="3" t="s">
        <v>113</v>
      </c>
      <c r="C6" s="3">
        <v>92</v>
      </c>
      <c r="D6" s="3">
        <v>85</v>
      </c>
      <c r="E6" s="3">
        <v>88</v>
      </c>
      <c r="F6" s="3">
        <v>82</v>
      </c>
      <c r="G6" s="3">
        <v>78</v>
      </c>
      <c r="H6" s="3">
        <v>75</v>
      </c>
      <c r="I6" s="4">
        <f>(IF(ISNUMBER(C6),C6*0.15,0)+IF(ISNUMBER(D6),D6*0.2,0)+IF(ISNUMBER(E6),E6*0.2,0)+IF(ISNUMBER(F6),F6*0.2,0)+IF(ISNUMBER(G6),G6*0.15,0)+IF(ISNUMBER(H6),H6*0.1,0))/(IF(ISNUMBER(C6),0.15,0)+IF(ISNUMBER(D6),0.2,0)+IF(ISNUMBER(E6),0.2,0)+IF(ISNUMBER(F6),0.2,0)+IF(ISNUMBER(G6),0.15,0)+IF(ISNUMBER(H6),0.1,0))</f>
        <v>84</v>
      </c>
      <c r="J6" s="5">
        <f>IF(M6="Non",ROUND(I6,0),"")</f>
        <v>84</v>
      </c>
      <c r="K6" s="3">
        <v>42</v>
      </c>
      <c r="L6" s="6">
        <v>1</v>
      </c>
      <c r="M6" s="3" t="s">
        <v>172</v>
      </c>
      <c r="N6" s="3" t="s">
        <v>173</v>
      </c>
      <c r="O6" s="4">
        <v>84</v>
      </c>
      <c r="P6" s="4">
        <v>1E-4</v>
      </c>
      <c r="Q6" s="3" t="str">
        <f>IF(ABS(I6-O6)&lt;=P6,"OK","ECART")</f>
        <v>OK</v>
      </c>
      <c r="R6" s="3" t="s">
        <v>176</v>
      </c>
      <c r="S6" s="1"/>
      <c r="T6" s="1"/>
      <c r="U6" s="1"/>
      <c r="V6" s="1"/>
    </row>
    <row r="7" spans="1:22">
      <c r="A7" s="3" t="s">
        <v>177</v>
      </c>
      <c r="B7" s="3" t="s">
        <v>117</v>
      </c>
      <c r="C7" s="3">
        <v>45</v>
      </c>
      <c r="D7" s="3">
        <v>50</v>
      </c>
      <c r="E7" s="3">
        <v>48</v>
      </c>
      <c r="F7" s="3">
        <v>55</v>
      </c>
      <c r="G7" s="3">
        <v>40</v>
      </c>
      <c r="H7" s="3">
        <v>50</v>
      </c>
      <c r="I7" s="4">
        <f>(IF(ISNUMBER(C7),C7*0.15,0)+IF(ISNUMBER(D7),D7*0.2,0)+IF(ISNUMBER(E7),E7*0.2,0)+IF(ISNUMBER(F7),F7*0.2,0)+IF(ISNUMBER(G7),G7*0.15,0)+IF(ISNUMBER(H7),H7*0.1,0))/(IF(ISNUMBER(C7),0.15,0)+IF(ISNUMBER(D7),0.2,0)+IF(ISNUMBER(E7),0.2,0)+IF(ISNUMBER(F7),0.2,0)+IF(ISNUMBER(G7),0.15,0)+IF(ISNUMBER(H7),0.1,0))</f>
        <v>48.35</v>
      </c>
      <c r="J7" s="5">
        <f>IF(M7="Non",ROUND(I7,0),"")</f>
        <v>48</v>
      </c>
      <c r="K7" s="3">
        <v>92</v>
      </c>
      <c r="L7" s="6">
        <v>1</v>
      </c>
      <c r="M7" s="3" t="s">
        <v>172</v>
      </c>
      <c r="N7" s="3" t="s">
        <v>173</v>
      </c>
      <c r="O7" s="4">
        <v>48.35</v>
      </c>
      <c r="P7" s="4">
        <v>1E-4</v>
      </c>
      <c r="Q7" s="3" t="str">
        <f>IF(ABS(I7-O7)&lt;=P7,"OK","ECART")</f>
        <v>OK</v>
      </c>
      <c r="R7" s="3" t="s">
        <v>176</v>
      </c>
      <c r="S7" s="1"/>
      <c r="T7" s="1"/>
      <c r="U7" s="1"/>
      <c r="V7" s="1"/>
    </row>
    <row r="8" spans="1:22">
      <c r="A8" s="3" t="s">
        <v>178</v>
      </c>
      <c r="B8" s="3" t="s">
        <v>179</v>
      </c>
      <c r="C8" s="3">
        <v>80</v>
      </c>
      <c r="D8" s="3">
        <v>70</v>
      </c>
      <c r="E8" s="3">
        <v>75</v>
      </c>
      <c r="F8" s="3">
        <v>65</v>
      </c>
      <c r="G8" s="3">
        <v>60</v>
      </c>
      <c r="H8" s="3"/>
      <c r="I8" s="4">
        <f>(IF(ISNUMBER(C8),C8*0.15,0)+IF(ISNUMBER(D8),D8*0.2,0)+IF(ISNUMBER(E8),E8*0.2,0)+IF(ISNUMBER(F8),F8*0.2,0)+IF(ISNUMBER(G8),G8*0.15,0)+IF(ISNUMBER(H8),H8*0.1,0))/(IF(ISNUMBER(C8),0.15,0)+IF(ISNUMBER(D8),0.2,0)+IF(ISNUMBER(E8),0.2,0)+IF(ISNUMBER(F8),0.2,0)+IF(ISNUMBER(G8),0.15,0)+IF(ISNUMBER(H8),0.1,0))</f>
        <v>70</v>
      </c>
      <c r="J8" s="5">
        <f>IF(M8="Non",ROUND(I8,0),"")</f>
        <v>70</v>
      </c>
      <c r="K8" s="3">
        <v>76</v>
      </c>
      <c r="L8" s="6">
        <v>1</v>
      </c>
      <c r="M8" s="3" t="s">
        <v>172</v>
      </c>
      <c r="N8" s="3" t="s">
        <v>173</v>
      </c>
      <c r="O8" s="4">
        <v>70</v>
      </c>
      <c r="P8" s="4">
        <v>1E-4</v>
      </c>
      <c r="Q8" s="3" t="str">
        <f>IF(ABS(I8-O8)&lt;=P8,"OK","ECART")</f>
        <v>OK</v>
      </c>
      <c r="R8" s="3" t="s">
        <v>180</v>
      </c>
      <c r="S8" s="1"/>
      <c r="T8" s="1"/>
      <c r="U8" s="1"/>
      <c r="V8" s="1"/>
    </row>
    <row r="9" spans="1:22">
      <c r="A9" s="3" t="s">
        <v>181</v>
      </c>
      <c r="B9" s="3" t="s">
        <v>182</v>
      </c>
      <c r="C9" s="3">
        <v>95</v>
      </c>
      <c r="D9" s="3">
        <v>90</v>
      </c>
      <c r="E9" s="3">
        <v>85</v>
      </c>
      <c r="F9" s="3">
        <v>90</v>
      </c>
      <c r="G9" s="3">
        <v>80</v>
      </c>
      <c r="H9" s="3">
        <v>85</v>
      </c>
      <c r="I9" s="4">
        <f>(IF(ISNUMBER(C9),C9*0.15,0)+IF(ISNUMBER(D9),D9*0.2,0)+IF(ISNUMBER(E9),E9*0.2,0)+IF(ISNUMBER(F9),F9*0.2,0)+IF(ISNUMBER(G9),G9*0.15,0)+IF(ISNUMBER(H9),H9*0.1,0))/(IF(ISNUMBER(C9),0.15,0)+IF(ISNUMBER(D9),0.2,0)+IF(ISNUMBER(E9),0.2,0)+IF(ISNUMBER(F9),0.2,0)+IF(ISNUMBER(G9),0.15,0)+IF(ISNUMBER(H9),0.1,0))</f>
        <v>87.75</v>
      </c>
      <c r="J9" s="5" t="str">
        <f>IF(M9="Non",ROUND(I9,0),"")</f>
        <v/>
      </c>
      <c r="K9" s="3">
        <v>88</v>
      </c>
      <c r="L9" s="6">
        <v>1</v>
      </c>
      <c r="M9" s="3" t="s">
        <v>183</v>
      </c>
      <c r="N9" s="3" t="s">
        <v>184</v>
      </c>
      <c r="O9" s="4">
        <v>87.75</v>
      </c>
      <c r="P9" s="4">
        <v>1E-4</v>
      </c>
      <c r="Q9" s="3" t="str">
        <f>IF(ABS(I9-O9)&lt;=P9,"OK","ECART")</f>
        <v>OK</v>
      </c>
      <c r="R9" s="3" t="s">
        <v>185</v>
      </c>
      <c r="S9" s="1"/>
      <c r="T9" s="1"/>
      <c r="U9" s="1"/>
      <c r="V9" s="1"/>
    </row>
    <row r="10" spans="1:22">
      <c r="A10" s="1"/>
      <c r="B10" s="1"/>
      <c r="C10" s="1"/>
      <c r="D10" s="1"/>
      <c r="E10" s="1"/>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V1"/>
    <mergeCell ref="A2:V2"/>
  </mergeCells>
  <conditionalFormatting sqref="Q5:Q9">
    <cfRule type="expression" dxfId="8" priority="1">
      <formula>$Q5="OK"</formula>
    </cfRule>
    <cfRule type="expression" dxfId="7" priority="2">
      <formula>$Q5="ECART"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00"/>
  <sheetViews>
    <sheetView workbookViewId="0">
      <selection sqref="A1:L1"/>
    </sheetView>
  </sheetViews>
  <sheetFormatPr baseColWidth="10" defaultColWidth="8.88671875" defaultRowHeight="14.4"/>
  <cols>
    <col min="1" max="1" width="10" customWidth="1"/>
    <col min="2" max="2" width="36" customWidth="1"/>
    <col min="3" max="7" width="9" customWidth="1"/>
    <col min="8" max="8" width="16" customWidth="1"/>
    <col min="9" max="9" width="14" customWidth="1"/>
    <col min="10" max="10" width="12" customWidth="1"/>
    <col min="11" max="11" width="14" customWidth="1"/>
    <col min="12" max="12" width="40" customWidth="1"/>
  </cols>
  <sheetData>
    <row r="1" spans="1:22" ht="22.35" customHeight="1">
      <c r="A1" s="9" t="s">
        <v>186</v>
      </c>
      <c r="B1" s="10"/>
      <c r="C1" s="10"/>
      <c r="D1" s="10"/>
      <c r="E1" s="10"/>
      <c r="F1" s="10"/>
      <c r="G1" s="10"/>
      <c r="H1" s="10"/>
      <c r="I1" s="10"/>
      <c r="J1" s="10"/>
      <c r="K1" s="10"/>
      <c r="L1" s="10"/>
      <c r="M1" s="1"/>
      <c r="N1" s="1"/>
      <c r="O1" s="1"/>
      <c r="P1" s="1"/>
      <c r="Q1" s="1"/>
      <c r="R1" s="1"/>
      <c r="S1" s="1"/>
      <c r="T1" s="1"/>
      <c r="U1" s="1"/>
      <c r="V1" s="1"/>
    </row>
    <row r="2" spans="1:22" ht="27.15" customHeight="1">
      <c r="A2" s="11" t="s">
        <v>187</v>
      </c>
      <c r="B2" s="12"/>
      <c r="C2" s="12"/>
      <c r="D2" s="12"/>
      <c r="E2" s="12"/>
      <c r="F2" s="12"/>
      <c r="G2" s="12"/>
      <c r="H2" s="12"/>
      <c r="I2" s="12"/>
      <c r="J2" s="12"/>
      <c r="K2" s="12"/>
      <c r="L2" s="12"/>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155</v>
      </c>
      <c r="B4" s="2" t="s">
        <v>156</v>
      </c>
      <c r="C4" s="2" t="s">
        <v>188</v>
      </c>
      <c r="D4" s="2" t="s">
        <v>189</v>
      </c>
      <c r="E4" s="2" t="s">
        <v>190</v>
      </c>
      <c r="F4" s="2" t="s">
        <v>191</v>
      </c>
      <c r="G4" s="2" t="s">
        <v>192</v>
      </c>
      <c r="H4" s="2" t="s">
        <v>193</v>
      </c>
      <c r="I4" s="2" t="s">
        <v>194</v>
      </c>
      <c r="J4" s="2" t="s">
        <v>195</v>
      </c>
      <c r="K4" s="2" t="s">
        <v>168</v>
      </c>
      <c r="L4" s="2" t="s">
        <v>169</v>
      </c>
      <c r="M4" s="1"/>
      <c r="N4" s="1"/>
      <c r="O4" s="1"/>
      <c r="P4" s="1"/>
      <c r="Q4" s="1"/>
      <c r="R4" s="1"/>
      <c r="S4" s="1"/>
      <c r="T4" s="1"/>
      <c r="U4" s="1"/>
      <c r="V4" s="1"/>
    </row>
    <row r="5" spans="1:22">
      <c r="A5" s="3" t="s">
        <v>196</v>
      </c>
      <c r="B5" s="3" t="s">
        <v>197</v>
      </c>
      <c r="C5" s="3">
        <v>80</v>
      </c>
      <c r="D5" s="3">
        <v>70</v>
      </c>
      <c r="E5" s="3">
        <v>90</v>
      </c>
      <c r="F5" s="3">
        <v>75</v>
      </c>
      <c r="G5" s="3">
        <v>85</v>
      </c>
      <c r="H5" s="7">
        <f>C5*0.4+D5*0.2+E5*0.15+F5*0.15+G5*0.1</f>
        <v>79.25</v>
      </c>
      <c r="I5" s="7">
        <v>79.25</v>
      </c>
      <c r="J5" s="7">
        <f>H5-I5</f>
        <v>0</v>
      </c>
      <c r="K5" s="3" t="str">
        <f>IF(ABS(J5)&lt;0.0001,"OK","ECART")</f>
        <v>OK</v>
      </c>
      <c r="L5" s="3" t="s">
        <v>198</v>
      </c>
      <c r="M5" s="1"/>
      <c r="N5" s="1"/>
      <c r="O5" s="1"/>
      <c r="P5" s="1"/>
      <c r="Q5" s="1"/>
      <c r="R5" s="1"/>
      <c r="S5" s="1"/>
      <c r="T5" s="1"/>
      <c r="U5" s="1"/>
      <c r="V5" s="1"/>
    </row>
    <row r="6" spans="1:22">
      <c r="A6" s="3" t="s">
        <v>199</v>
      </c>
      <c r="B6" s="3" t="s">
        <v>200</v>
      </c>
      <c r="C6" s="3">
        <v>100</v>
      </c>
      <c r="D6" s="3">
        <v>100</v>
      </c>
      <c r="E6" s="3">
        <v>100</v>
      </c>
      <c r="F6" s="3">
        <v>100</v>
      </c>
      <c r="G6" s="3">
        <v>100</v>
      </c>
      <c r="H6" s="7">
        <f>C6*0.4+D6*0.2+E6*0.15+F6*0.15+G6*0.1</f>
        <v>100</v>
      </c>
      <c r="I6" s="7">
        <v>100</v>
      </c>
      <c r="J6" s="7">
        <f>H6-I6</f>
        <v>0</v>
      </c>
      <c r="K6" s="3" t="str">
        <f>IF(ABS(J6)&lt;0.0001,"OK","ECART")</f>
        <v>OK</v>
      </c>
      <c r="L6" s="3" t="s">
        <v>201</v>
      </c>
      <c r="M6" s="1"/>
      <c r="N6" s="1"/>
      <c r="O6" s="1"/>
      <c r="P6" s="1"/>
      <c r="Q6" s="1"/>
      <c r="R6" s="1"/>
      <c r="S6" s="1"/>
      <c r="T6" s="1"/>
      <c r="U6" s="1"/>
      <c r="V6" s="1"/>
    </row>
    <row r="7" spans="1:22">
      <c r="A7" s="3" t="s">
        <v>202</v>
      </c>
      <c r="B7" s="3" t="s">
        <v>203</v>
      </c>
      <c r="C7" s="3">
        <v>0</v>
      </c>
      <c r="D7" s="3">
        <v>0</v>
      </c>
      <c r="E7" s="3">
        <v>0</v>
      </c>
      <c r="F7" s="3">
        <v>0</v>
      </c>
      <c r="G7" s="3">
        <v>0</v>
      </c>
      <c r="H7" s="7">
        <f>C7*0.4+D7*0.2+E7*0.15+F7*0.15+G7*0.1</f>
        <v>0</v>
      </c>
      <c r="I7" s="7">
        <v>0</v>
      </c>
      <c r="J7" s="7">
        <f>H7-I7</f>
        <v>0</v>
      </c>
      <c r="K7" s="3" t="str">
        <f>IF(ABS(J7)&lt;0.0001,"OK","ECART")</f>
        <v>OK</v>
      </c>
      <c r="L7" s="3" t="s">
        <v>204</v>
      </c>
      <c r="M7" s="1"/>
      <c r="N7" s="1"/>
      <c r="O7" s="1"/>
      <c r="P7" s="1"/>
      <c r="Q7" s="1"/>
      <c r="R7" s="1"/>
      <c r="S7" s="1"/>
      <c r="T7" s="1"/>
      <c r="U7" s="1"/>
      <c r="V7" s="1"/>
    </row>
    <row r="8" spans="1:22">
      <c r="A8" s="3" t="s">
        <v>205</v>
      </c>
      <c r="B8" s="3" t="s">
        <v>206</v>
      </c>
      <c r="C8" s="3">
        <v>25</v>
      </c>
      <c r="D8" s="3">
        <v>90</v>
      </c>
      <c r="E8" s="3">
        <v>90</v>
      </c>
      <c r="F8" s="3">
        <v>90</v>
      </c>
      <c r="G8" s="3">
        <v>90</v>
      </c>
      <c r="H8" s="7">
        <f>C8*0.4+D8*0.2+E8*0.15+F8*0.15+G8*0.1</f>
        <v>64</v>
      </c>
      <c r="I8" s="7">
        <v>64</v>
      </c>
      <c r="J8" s="7">
        <f>H8-I8</f>
        <v>0</v>
      </c>
      <c r="K8" s="3" t="str">
        <f>IF(ABS(J8)&lt;0.0001,"OK","ECART")</f>
        <v>OK</v>
      </c>
      <c r="L8" s="3" t="s">
        <v>207</v>
      </c>
      <c r="M8" s="1"/>
      <c r="N8" s="1"/>
      <c r="O8" s="1"/>
      <c r="P8" s="1"/>
      <c r="Q8" s="1"/>
      <c r="R8" s="1"/>
      <c r="S8" s="1"/>
      <c r="T8" s="1"/>
      <c r="U8" s="1"/>
      <c r="V8" s="1"/>
    </row>
    <row r="9" spans="1:22">
      <c r="A9" s="1"/>
      <c r="B9" s="1"/>
      <c r="C9" s="1"/>
      <c r="D9" s="1"/>
      <c r="E9" s="1"/>
      <c r="F9" s="1"/>
      <c r="G9" s="1"/>
      <c r="H9" s="1"/>
      <c r="I9" s="1"/>
      <c r="J9" s="1"/>
      <c r="K9" s="1"/>
      <c r="L9" s="1"/>
      <c r="M9" s="1"/>
      <c r="N9" s="1"/>
      <c r="O9" s="1"/>
      <c r="P9" s="1"/>
      <c r="Q9" s="1"/>
      <c r="R9" s="1"/>
      <c r="S9" s="1"/>
      <c r="T9" s="1"/>
      <c r="U9" s="1"/>
      <c r="V9" s="1"/>
    </row>
    <row r="10" spans="1:22">
      <c r="A10" s="1"/>
      <c r="B10" s="1"/>
      <c r="C10" s="1"/>
      <c r="D10" s="1"/>
      <c r="E10" s="1"/>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L1"/>
    <mergeCell ref="A2:L2"/>
  </mergeCells>
  <conditionalFormatting sqref="K5:K8">
    <cfRule type="expression" dxfId="6" priority="1">
      <formula>$K5="OK"</formula>
    </cfRule>
    <cfRule type="expression" dxfId="5" priority="2">
      <formula>$K5="ECART"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00"/>
  <sheetViews>
    <sheetView topLeftCell="E1" workbookViewId="0">
      <selection sqref="A1:I1"/>
    </sheetView>
  </sheetViews>
  <sheetFormatPr baseColWidth="10" defaultColWidth="8.88671875" defaultRowHeight="14.4"/>
  <cols>
    <col min="1" max="1" width="10" customWidth="1"/>
    <col min="2" max="2" width="36" customWidth="1"/>
    <col min="3" max="3" width="30" customWidth="1"/>
    <col min="4" max="4" width="18" customWidth="1"/>
    <col min="5" max="5" width="16" customWidth="1"/>
    <col min="6" max="6" width="26" customWidth="1"/>
    <col min="7" max="7" width="28" customWidth="1"/>
    <col min="8" max="8" width="46" customWidth="1"/>
    <col min="9" max="9" width="18" customWidth="1"/>
  </cols>
  <sheetData>
    <row r="1" spans="1:22" ht="22.35" customHeight="1">
      <c r="A1" s="9" t="s">
        <v>208</v>
      </c>
      <c r="B1" s="10"/>
      <c r="C1" s="10"/>
      <c r="D1" s="10"/>
      <c r="E1" s="10"/>
      <c r="F1" s="10"/>
      <c r="G1" s="10"/>
      <c r="H1" s="10"/>
      <c r="I1" s="10"/>
      <c r="J1" s="1"/>
      <c r="K1" s="1"/>
      <c r="L1" s="1"/>
      <c r="M1" s="1"/>
      <c r="N1" s="1"/>
      <c r="O1" s="1"/>
      <c r="P1" s="1"/>
      <c r="Q1" s="1"/>
      <c r="R1" s="1"/>
      <c r="S1" s="1"/>
      <c r="T1" s="1"/>
      <c r="U1" s="1"/>
      <c r="V1" s="1"/>
    </row>
    <row r="2" spans="1:22" ht="27.15" customHeight="1">
      <c r="A2" s="11" t="s">
        <v>209</v>
      </c>
      <c r="B2" s="12"/>
      <c r="C2" s="12"/>
      <c r="D2" s="12"/>
      <c r="E2" s="12"/>
      <c r="F2" s="12"/>
      <c r="G2" s="12"/>
      <c r="H2" s="12"/>
      <c r="I2" s="12"/>
      <c r="J2" s="1"/>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210</v>
      </c>
      <c r="C4" s="2" t="s">
        <v>211</v>
      </c>
      <c r="D4" s="2" t="s">
        <v>212</v>
      </c>
      <c r="E4" s="2" t="s">
        <v>213</v>
      </c>
      <c r="F4" s="2" t="s">
        <v>214</v>
      </c>
      <c r="G4" s="2" t="s">
        <v>215</v>
      </c>
      <c r="H4" s="2" t="s">
        <v>26</v>
      </c>
      <c r="I4" s="2" t="s">
        <v>216</v>
      </c>
      <c r="J4" s="1"/>
      <c r="K4" s="1"/>
      <c r="L4" s="1"/>
      <c r="M4" s="1"/>
      <c r="N4" s="1"/>
      <c r="O4" s="1"/>
      <c r="P4" s="1"/>
      <c r="Q4" s="1"/>
      <c r="R4" s="1"/>
      <c r="S4" s="1"/>
      <c r="T4" s="1"/>
      <c r="U4" s="1"/>
      <c r="V4" s="1"/>
    </row>
    <row r="5" spans="1:22">
      <c r="A5" s="3" t="s">
        <v>217</v>
      </c>
      <c r="B5" s="3" t="s">
        <v>218</v>
      </c>
      <c r="C5" s="3" t="s">
        <v>219</v>
      </c>
      <c r="D5" s="3" t="s">
        <v>39</v>
      </c>
      <c r="E5" s="3" t="s">
        <v>39</v>
      </c>
      <c r="F5" s="3" t="s">
        <v>172</v>
      </c>
      <c r="G5" s="3" t="s">
        <v>172</v>
      </c>
      <c r="H5" s="3" t="s">
        <v>220</v>
      </c>
      <c r="I5" s="3" t="s">
        <v>40</v>
      </c>
      <c r="J5" s="1"/>
      <c r="K5" s="1"/>
      <c r="L5" s="1"/>
      <c r="M5" s="1"/>
      <c r="N5" s="1"/>
      <c r="O5" s="1"/>
      <c r="P5" s="1"/>
      <c r="Q5" s="1"/>
      <c r="R5" s="1"/>
      <c r="S5" s="1"/>
      <c r="T5" s="1"/>
      <c r="U5" s="1"/>
      <c r="V5" s="1"/>
    </row>
    <row r="6" spans="1:22">
      <c r="A6" s="3" t="s">
        <v>221</v>
      </c>
      <c r="B6" s="3" t="s">
        <v>222</v>
      </c>
      <c r="C6" s="3" t="s">
        <v>51</v>
      </c>
      <c r="D6" s="3" t="s">
        <v>172</v>
      </c>
      <c r="E6" s="3" t="s">
        <v>172</v>
      </c>
      <c r="F6" s="3" t="s">
        <v>172</v>
      </c>
      <c r="G6" s="3" t="s">
        <v>39</v>
      </c>
      <c r="H6" s="3" t="s">
        <v>223</v>
      </c>
      <c r="I6" s="3" t="s">
        <v>40</v>
      </c>
      <c r="J6" s="1"/>
      <c r="K6" s="1"/>
      <c r="L6" s="1"/>
      <c r="M6" s="1"/>
      <c r="N6" s="1"/>
      <c r="O6" s="1"/>
      <c r="P6" s="1"/>
      <c r="Q6" s="1"/>
      <c r="R6" s="1"/>
      <c r="S6" s="1"/>
      <c r="T6" s="1"/>
      <c r="U6" s="1"/>
      <c r="V6" s="1"/>
    </row>
    <row r="7" spans="1:22">
      <c r="A7" s="3" t="s">
        <v>224</v>
      </c>
      <c r="B7" s="3" t="s">
        <v>43</v>
      </c>
      <c r="C7" s="3" t="s">
        <v>45</v>
      </c>
      <c r="D7" s="3" t="s">
        <v>172</v>
      </c>
      <c r="E7" s="3" t="s">
        <v>172</v>
      </c>
      <c r="F7" s="3" t="s">
        <v>225</v>
      </c>
      <c r="G7" s="3" t="s">
        <v>172</v>
      </c>
      <c r="H7" s="3" t="s">
        <v>226</v>
      </c>
      <c r="I7" s="3" t="s">
        <v>40</v>
      </c>
      <c r="J7" s="1"/>
      <c r="K7" s="1"/>
      <c r="L7" s="1"/>
      <c r="M7" s="1"/>
      <c r="N7" s="1"/>
      <c r="O7" s="1"/>
      <c r="P7" s="1"/>
      <c r="Q7" s="1"/>
      <c r="R7" s="1"/>
      <c r="S7" s="1"/>
      <c r="T7" s="1"/>
      <c r="U7" s="1"/>
      <c r="V7" s="1"/>
    </row>
    <row r="8" spans="1:22">
      <c r="A8" s="3" t="s">
        <v>227</v>
      </c>
      <c r="B8" s="3" t="s">
        <v>228</v>
      </c>
      <c r="C8" s="3" t="s">
        <v>229</v>
      </c>
      <c r="D8" s="3" t="s">
        <v>172</v>
      </c>
      <c r="E8" s="3" t="s">
        <v>172</v>
      </c>
      <c r="F8" s="3" t="s">
        <v>172</v>
      </c>
      <c r="G8" s="3" t="s">
        <v>39</v>
      </c>
      <c r="H8" s="3" t="s">
        <v>230</v>
      </c>
      <c r="I8" s="3" t="s">
        <v>40</v>
      </c>
      <c r="J8" s="1"/>
      <c r="K8" s="1"/>
      <c r="L8" s="1"/>
      <c r="M8" s="1"/>
      <c r="N8" s="1"/>
      <c r="O8" s="1"/>
      <c r="P8" s="1"/>
      <c r="Q8" s="1"/>
      <c r="R8" s="1"/>
      <c r="S8" s="1"/>
      <c r="T8" s="1"/>
      <c r="U8" s="1"/>
      <c r="V8" s="1"/>
    </row>
    <row r="9" spans="1:22">
      <c r="A9" s="3" t="s">
        <v>231</v>
      </c>
      <c r="B9" s="3" t="s">
        <v>61</v>
      </c>
      <c r="C9" s="3" t="s">
        <v>63</v>
      </c>
      <c r="D9" s="3" t="s">
        <v>232</v>
      </c>
      <c r="E9" s="3" t="s">
        <v>172</v>
      </c>
      <c r="F9" s="3" t="s">
        <v>172</v>
      </c>
      <c r="G9" s="3" t="s">
        <v>39</v>
      </c>
      <c r="H9" s="3" t="s">
        <v>233</v>
      </c>
      <c r="I9" s="3" t="s">
        <v>40</v>
      </c>
      <c r="J9" s="1"/>
      <c r="K9" s="1"/>
      <c r="L9" s="1"/>
      <c r="M9" s="1"/>
      <c r="N9" s="1"/>
      <c r="O9" s="1"/>
      <c r="P9" s="1"/>
      <c r="Q9" s="1"/>
      <c r="R9" s="1"/>
      <c r="S9" s="1"/>
      <c r="T9" s="1"/>
      <c r="U9" s="1"/>
      <c r="V9" s="1"/>
    </row>
    <row r="10" spans="1:22">
      <c r="A10" s="3" t="s">
        <v>234</v>
      </c>
      <c r="B10" s="3" t="s">
        <v>235</v>
      </c>
      <c r="C10" s="3" t="s">
        <v>236</v>
      </c>
      <c r="D10" s="3" t="s">
        <v>237</v>
      </c>
      <c r="E10" s="3" t="s">
        <v>172</v>
      </c>
      <c r="F10" s="3" t="s">
        <v>172</v>
      </c>
      <c r="G10" s="3" t="s">
        <v>39</v>
      </c>
      <c r="H10" s="3" t="s">
        <v>238</v>
      </c>
      <c r="I10" s="3" t="s">
        <v>40</v>
      </c>
      <c r="J10" s="1"/>
      <c r="K10" s="1"/>
      <c r="L10" s="1"/>
      <c r="M10" s="1"/>
      <c r="N10" s="1"/>
      <c r="O10" s="1"/>
      <c r="P10" s="1"/>
      <c r="Q10" s="1"/>
      <c r="R10" s="1"/>
      <c r="S10" s="1"/>
      <c r="T10" s="1"/>
      <c r="U10" s="1"/>
      <c r="V10" s="1"/>
    </row>
    <row r="11" spans="1:22">
      <c r="A11" s="3" t="s">
        <v>239</v>
      </c>
      <c r="B11" s="3" t="s">
        <v>240</v>
      </c>
      <c r="C11" s="3" t="s">
        <v>241</v>
      </c>
      <c r="D11" s="3" t="s">
        <v>172</v>
      </c>
      <c r="E11" s="3" t="s">
        <v>172</v>
      </c>
      <c r="F11" s="3" t="s">
        <v>172</v>
      </c>
      <c r="G11" s="3" t="s">
        <v>39</v>
      </c>
      <c r="H11" s="3" t="s">
        <v>242</v>
      </c>
      <c r="I11" s="3" t="s">
        <v>40</v>
      </c>
      <c r="J11" s="1"/>
      <c r="K11" s="1"/>
      <c r="L11" s="1"/>
      <c r="M11" s="1"/>
      <c r="N11" s="1"/>
      <c r="O11" s="1"/>
      <c r="P11" s="1"/>
      <c r="Q11" s="1"/>
      <c r="R11" s="1"/>
      <c r="S11" s="1"/>
      <c r="T11" s="1"/>
      <c r="U11" s="1"/>
      <c r="V11" s="1"/>
    </row>
    <row r="12" spans="1:22">
      <c r="A12" s="3" t="s">
        <v>243</v>
      </c>
      <c r="B12" s="3" t="s">
        <v>244</v>
      </c>
      <c r="C12" s="3" t="s">
        <v>245</v>
      </c>
      <c r="D12" s="3" t="s">
        <v>246</v>
      </c>
      <c r="E12" s="3" t="s">
        <v>172</v>
      </c>
      <c r="F12" s="3" t="s">
        <v>172</v>
      </c>
      <c r="G12" s="3" t="s">
        <v>39</v>
      </c>
      <c r="H12" s="3" t="s">
        <v>247</v>
      </c>
      <c r="I12" s="3" t="s">
        <v>40</v>
      </c>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I1"/>
    <mergeCell ref="A2:I2"/>
  </mergeCells>
  <dataValidations count="1">
    <dataValidation type="list" sqref="I5:I12" xr:uid="{00000000-0002-0000-0400-000000000000}">
      <formula1>"À exécuter,Conforme,Non conforme,Bloqué"</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00"/>
  <sheetViews>
    <sheetView workbookViewId="0">
      <selection sqref="A1:J1"/>
    </sheetView>
  </sheetViews>
  <sheetFormatPr baseColWidth="10" defaultColWidth="8.88671875" defaultRowHeight="14.4"/>
  <cols>
    <col min="1" max="1" width="11" customWidth="1"/>
    <col min="2" max="2" width="10" customWidth="1"/>
    <col min="3" max="3" width="46" customWidth="1"/>
    <col min="4" max="4" width="18" customWidth="1"/>
    <col min="5" max="5" width="38" customWidth="1"/>
    <col min="6" max="6" width="20" customWidth="1"/>
    <col min="7" max="7" width="22" customWidth="1"/>
    <col min="8" max="8" width="42" customWidth="1"/>
    <col min="9" max="9" width="26" customWidth="1"/>
    <col min="10" max="10" width="18" customWidth="1"/>
  </cols>
  <sheetData>
    <row r="1" spans="1:22" ht="22.35" customHeight="1">
      <c r="A1" s="9" t="s">
        <v>248</v>
      </c>
      <c r="B1" s="10"/>
      <c r="C1" s="10"/>
      <c r="D1" s="10"/>
      <c r="E1" s="10"/>
      <c r="F1" s="10"/>
      <c r="G1" s="10"/>
      <c r="H1" s="10"/>
      <c r="I1" s="10"/>
      <c r="J1" s="10"/>
      <c r="K1" s="1"/>
      <c r="L1" s="1"/>
      <c r="M1" s="1"/>
      <c r="N1" s="1"/>
      <c r="O1" s="1"/>
      <c r="P1" s="1"/>
      <c r="Q1" s="1"/>
      <c r="R1" s="1"/>
      <c r="S1" s="1"/>
      <c r="T1" s="1"/>
      <c r="U1" s="1"/>
      <c r="V1" s="1"/>
    </row>
    <row r="2" spans="1:22" ht="27.15" customHeight="1">
      <c r="A2" s="11" t="s">
        <v>249</v>
      </c>
      <c r="B2" s="12"/>
      <c r="C2" s="12"/>
      <c r="D2" s="12"/>
      <c r="E2" s="12"/>
      <c r="F2" s="12"/>
      <c r="G2" s="12"/>
      <c r="H2" s="12"/>
      <c r="I2" s="12"/>
      <c r="J2" s="12"/>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250</v>
      </c>
      <c r="C4" s="2" t="s">
        <v>251</v>
      </c>
      <c r="D4" s="2" t="s">
        <v>252</v>
      </c>
      <c r="E4" s="2" t="s">
        <v>253</v>
      </c>
      <c r="F4" s="2" t="s">
        <v>254</v>
      </c>
      <c r="G4" s="2" t="s">
        <v>165</v>
      </c>
      <c r="H4" s="2" t="s">
        <v>255</v>
      </c>
      <c r="I4" s="2" t="s">
        <v>256</v>
      </c>
      <c r="J4" s="2" t="s">
        <v>216</v>
      </c>
      <c r="K4" s="1"/>
      <c r="L4" s="1"/>
      <c r="M4" s="1"/>
      <c r="N4" s="1"/>
      <c r="O4" s="1"/>
      <c r="P4" s="1"/>
      <c r="Q4" s="1"/>
      <c r="R4" s="1"/>
      <c r="S4" s="1"/>
      <c r="T4" s="1"/>
      <c r="U4" s="1"/>
      <c r="V4" s="1"/>
    </row>
    <row r="5" spans="1:22">
      <c r="A5" s="3" t="s">
        <v>257</v>
      </c>
      <c r="B5" s="3" t="s">
        <v>183</v>
      </c>
      <c r="C5" s="3" t="s">
        <v>258</v>
      </c>
      <c r="D5" s="3">
        <v>88.25</v>
      </c>
      <c r="E5" s="3" t="s">
        <v>259</v>
      </c>
      <c r="F5" s="3" t="s">
        <v>172</v>
      </c>
      <c r="G5" s="3" t="s">
        <v>184</v>
      </c>
      <c r="H5" s="3" t="s">
        <v>260</v>
      </c>
      <c r="I5" s="3"/>
      <c r="J5" s="3" t="s">
        <v>40</v>
      </c>
      <c r="K5" s="1"/>
      <c r="L5" s="1"/>
      <c r="M5" s="1"/>
      <c r="N5" s="1"/>
      <c r="O5" s="1"/>
      <c r="P5" s="1"/>
      <c r="Q5" s="1"/>
      <c r="R5" s="1"/>
      <c r="S5" s="1"/>
      <c r="T5" s="1"/>
      <c r="U5" s="1"/>
      <c r="V5" s="1"/>
    </row>
    <row r="6" spans="1:22">
      <c r="A6" s="3" t="s">
        <v>261</v>
      </c>
      <c r="B6" s="3" t="s">
        <v>262</v>
      </c>
      <c r="C6" s="3" t="s">
        <v>263</v>
      </c>
      <c r="D6" s="3">
        <v>72</v>
      </c>
      <c r="E6" s="3" t="s">
        <v>264</v>
      </c>
      <c r="F6" s="3" t="s">
        <v>172</v>
      </c>
      <c r="G6" s="3" t="s">
        <v>265</v>
      </c>
      <c r="H6" s="3" t="s">
        <v>266</v>
      </c>
      <c r="I6" s="3"/>
      <c r="J6" s="3" t="s">
        <v>40</v>
      </c>
      <c r="K6" s="1"/>
      <c r="L6" s="1"/>
      <c r="M6" s="1"/>
      <c r="N6" s="1"/>
      <c r="O6" s="1"/>
      <c r="P6" s="1"/>
      <c r="Q6" s="1"/>
      <c r="R6" s="1"/>
      <c r="S6" s="1"/>
      <c r="T6" s="1"/>
      <c r="U6" s="1"/>
      <c r="V6" s="1"/>
    </row>
    <row r="7" spans="1:22">
      <c r="A7" s="3" t="s">
        <v>267</v>
      </c>
      <c r="B7" s="3" t="s">
        <v>268</v>
      </c>
      <c r="C7" s="3" t="s">
        <v>269</v>
      </c>
      <c r="D7" s="3">
        <v>81</v>
      </c>
      <c r="E7" s="3" t="s">
        <v>270</v>
      </c>
      <c r="F7" s="3" t="s">
        <v>172</v>
      </c>
      <c r="G7" s="3" t="s">
        <v>271</v>
      </c>
      <c r="H7" s="3" t="s">
        <v>272</v>
      </c>
      <c r="I7" s="3"/>
      <c r="J7" s="3" t="s">
        <v>40</v>
      </c>
      <c r="K7" s="1"/>
      <c r="L7" s="1"/>
      <c r="M7" s="1"/>
      <c r="N7" s="1"/>
      <c r="O7" s="1"/>
      <c r="P7" s="1"/>
      <c r="Q7" s="1"/>
      <c r="R7" s="1"/>
      <c r="S7" s="1"/>
      <c r="T7" s="1"/>
      <c r="U7" s="1"/>
      <c r="V7" s="1"/>
    </row>
    <row r="8" spans="1:22">
      <c r="A8" s="3" t="s">
        <v>273</v>
      </c>
      <c r="B8" s="3" t="s">
        <v>274</v>
      </c>
      <c r="C8" s="3" t="s">
        <v>275</v>
      </c>
      <c r="D8" s="3">
        <v>76</v>
      </c>
      <c r="E8" s="3" t="s">
        <v>259</v>
      </c>
      <c r="F8" s="3" t="s">
        <v>172</v>
      </c>
      <c r="G8" s="3" t="s">
        <v>271</v>
      </c>
      <c r="H8" s="3" t="s">
        <v>276</v>
      </c>
      <c r="I8" s="3"/>
      <c r="J8" s="3" t="s">
        <v>40</v>
      </c>
      <c r="K8" s="1"/>
      <c r="L8" s="1"/>
      <c r="M8" s="1"/>
      <c r="N8" s="1"/>
      <c r="O8" s="1"/>
      <c r="P8" s="1"/>
      <c r="Q8" s="1"/>
      <c r="R8" s="1"/>
      <c r="S8" s="1"/>
      <c r="T8" s="1"/>
      <c r="U8" s="1"/>
      <c r="V8" s="1"/>
    </row>
    <row r="9" spans="1:22">
      <c r="A9" s="3" t="s">
        <v>277</v>
      </c>
      <c r="B9" s="3" t="s">
        <v>278</v>
      </c>
      <c r="C9" s="3" t="s">
        <v>279</v>
      </c>
      <c r="D9" s="3">
        <v>74.25</v>
      </c>
      <c r="E9" s="3" t="s">
        <v>280</v>
      </c>
      <c r="F9" s="3" t="s">
        <v>39</v>
      </c>
      <c r="G9" s="3" t="s">
        <v>173</v>
      </c>
      <c r="H9" s="3" t="s">
        <v>281</v>
      </c>
      <c r="I9" s="3"/>
      <c r="J9" s="3" t="s">
        <v>40</v>
      </c>
      <c r="K9" s="1"/>
      <c r="L9" s="1"/>
      <c r="M9" s="1"/>
      <c r="N9" s="1"/>
      <c r="O9" s="1"/>
      <c r="P9" s="1"/>
      <c r="Q9" s="1"/>
      <c r="R9" s="1"/>
      <c r="S9" s="1"/>
      <c r="T9" s="1"/>
      <c r="U9" s="1"/>
      <c r="V9" s="1"/>
    </row>
    <row r="10" spans="1:22">
      <c r="A10" s="1"/>
      <c r="B10" s="1"/>
      <c r="C10" s="1"/>
      <c r="D10" s="1"/>
      <c r="E10" s="1"/>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J1"/>
    <mergeCell ref="A2:J2"/>
  </mergeCells>
  <dataValidations count="1">
    <dataValidation type="list" sqref="J5:J9" xr:uid="{00000000-0002-0000-0500-000000000000}">
      <formula1>"À exécuter,Conforme,Non conforme,Bloqué"</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00"/>
  <sheetViews>
    <sheetView workbookViewId="0">
      <selection sqref="A1:K1"/>
    </sheetView>
  </sheetViews>
  <sheetFormatPr baseColWidth="10" defaultColWidth="8.88671875" defaultRowHeight="14.4"/>
  <cols>
    <col min="1" max="1" width="10" customWidth="1"/>
    <col min="2" max="2" width="28" customWidth="1"/>
    <col min="3" max="3" width="22" customWidth="1"/>
    <col min="4" max="4" width="18" customWidth="1"/>
    <col min="5" max="5" width="24" customWidth="1"/>
    <col min="6" max="6" width="18" customWidth="1"/>
    <col min="7" max="8" width="28" customWidth="1"/>
    <col min="9" max="9" width="22" customWidth="1"/>
    <col min="10" max="10" width="26" customWidth="1"/>
    <col min="11" max="11" width="18" customWidth="1"/>
  </cols>
  <sheetData>
    <row r="1" spans="1:22" ht="22.35" customHeight="1">
      <c r="A1" s="9" t="s">
        <v>282</v>
      </c>
      <c r="B1" s="10"/>
      <c r="C1" s="10"/>
      <c r="D1" s="10"/>
      <c r="E1" s="10"/>
      <c r="F1" s="10"/>
      <c r="G1" s="10"/>
      <c r="H1" s="10"/>
      <c r="I1" s="10"/>
      <c r="J1" s="10"/>
      <c r="K1" s="10"/>
      <c r="L1" s="1"/>
      <c r="M1" s="1"/>
      <c r="N1" s="1"/>
      <c r="O1" s="1"/>
      <c r="P1" s="1"/>
      <c r="Q1" s="1"/>
      <c r="R1" s="1"/>
      <c r="S1" s="1"/>
      <c r="T1" s="1"/>
      <c r="U1" s="1"/>
      <c r="V1" s="1"/>
    </row>
    <row r="2" spans="1:22" ht="27.15" customHeight="1">
      <c r="A2" s="11" t="s">
        <v>283</v>
      </c>
      <c r="B2" s="12"/>
      <c r="C2" s="12"/>
      <c r="D2" s="12"/>
      <c r="E2" s="12"/>
      <c r="F2" s="12"/>
      <c r="G2" s="12"/>
      <c r="H2" s="12"/>
      <c r="I2" s="12"/>
      <c r="J2" s="12"/>
      <c r="K2" s="12"/>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284</v>
      </c>
      <c r="C4" s="2" t="s">
        <v>285</v>
      </c>
      <c r="D4" s="2" t="s">
        <v>286</v>
      </c>
      <c r="E4" s="2" t="s">
        <v>287</v>
      </c>
      <c r="F4" s="2" t="s">
        <v>288</v>
      </c>
      <c r="G4" s="2" t="s">
        <v>289</v>
      </c>
      <c r="H4" s="2" t="s">
        <v>290</v>
      </c>
      <c r="I4" s="2" t="s">
        <v>291</v>
      </c>
      <c r="J4" s="2" t="s">
        <v>256</v>
      </c>
      <c r="K4" s="2" t="s">
        <v>216</v>
      </c>
      <c r="L4" s="1"/>
      <c r="M4" s="1"/>
      <c r="N4" s="1"/>
      <c r="O4" s="1"/>
      <c r="P4" s="1"/>
      <c r="Q4" s="1"/>
      <c r="R4" s="1"/>
      <c r="S4" s="1"/>
      <c r="T4" s="1"/>
      <c r="U4" s="1"/>
      <c r="V4" s="1"/>
    </row>
    <row r="5" spans="1:22">
      <c r="A5" s="3" t="s">
        <v>292</v>
      </c>
      <c r="B5" s="3" t="s">
        <v>293</v>
      </c>
      <c r="C5" s="3" t="s">
        <v>294</v>
      </c>
      <c r="D5" s="3" t="s">
        <v>295</v>
      </c>
      <c r="E5" s="3" t="s">
        <v>296</v>
      </c>
      <c r="F5" s="3">
        <v>74</v>
      </c>
      <c r="G5" s="3" t="s">
        <v>297</v>
      </c>
      <c r="H5" s="3" t="s">
        <v>281</v>
      </c>
      <c r="I5" s="3" t="s">
        <v>39</v>
      </c>
      <c r="J5" s="3"/>
      <c r="K5" s="3" t="s">
        <v>40</v>
      </c>
      <c r="L5" s="1"/>
      <c r="M5" s="1"/>
      <c r="N5" s="1"/>
      <c r="O5" s="1"/>
      <c r="P5" s="1"/>
      <c r="Q5" s="1"/>
      <c r="R5" s="1"/>
      <c r="S5" s="1"/>
      <c r="T5" s="1"/>
      <c r="U5" s="1"/>
      <c r="V5" s="1"/>
    </row>
    <row r="6" spans="1:22">
      <c r="A6" s="3" t="s">
        <v>298</v>
      </c>
      <c r="B6" s="3" t="s">
        <v>299</v>
      </c>
      <c r="C6" s="3" t="s">
        <v>300</v>
      </c>
      <c r="D6" s="3" t="s">
        <v>295</v>
      </c>
      <c r="E6" s="3" t="s">
        <v>296</v>
      </c>
      <c r="F6" s="3">
        <v>74</v>
      </c>
      <c r="G6" s="3" t="s">
        <v>301</v>
      </c>
      <c r="H6" s="3" t="s">
        <v>172</v>
      </c>
      <c r="I6" s="3" t="s">
        <v>39</v>
      </c>
      <c r="J6" s="3"/>
      <c r="K6" s="3" t="s">
        <v>40</v>
      </c>
      <c r="L6" s="1"/>
      <c r="M6" s="1"/>
      <c r="N6" s="1"/>
      <c r="O6" s="1"/>
      <c r="P6" s="1"/>
      <c r="Q6" s="1"/>
      <c r="R6" s="1"/>
      <c r="S6" s="1"/>
      <c r="T6" s="1"/>
      <c r="U6" s="1"/>
      <c r="V6" s="1"/>
    </row>
    <row r="7" spans="1:22">
      <c r="A7" s="3" t="s">
        <v>302</v>
      </c>
      <c r="B7" s="3" t="s">
        <v>303</v>
      </c>
      <c r="C7" s="3" t="s">
        <v>304</v>
      </c>
      <c r="D7" s="3" t="s">
        <v>305</v>
      </c>
      <c r="E7" s="3" t="s">
        <v>296</v>
      </c>
      <c r="F7" s="3" t="s">
        <v>306</v>
      </c>
      <c r="G7" s="3" t="s">
        <v>307</v>
      </c>
      <c r="H7" s="3" t="s">
        <v>172</v>
      </c>
      <c r="I7" s="3" t="s">
        <v>39</v>
      </c>
      <c r="J7" s="3"/>
      <c r="K7" s="3" t="s">
        <v>40</v>
      </c>
      <c r="L7" s="1"/>
      <c r="M7" s="1"/>
      <c r="N7" s="1"/>
      <c r="O7" s="1"/>
      <c r="P7" s="1"/>
      <c r="Q7" s="1"/>
      <c r="R7" s="1"/>
      <c r="S7" s="1"/>
      <c r="T7" s="1"/>
      <c r="U7" s="1"/>
      <c r="V7" s="1"/>
    </row>
    <row r="8" spans="1:22">
      <c r="A8" s="3" t="s">
        <v>308</v>
      </c>
      <c r="B8" s="3" t="s">
        <v>309</v>
      </c>
      <c r="C8" s="3" t="s">
        <v>310</v>
      </c>
      <c r="D8" s="3" t="s">
        <v>295</v>
      </c>
      <c r="E8" s="3" t="s">
        <v>311</v>
      </c>
      <c r="F8" s="3" t="s">
        <v>312</v>
      </c>
      <c r="G8" s="3" t="s">
        <v>313</v>
      </c>
      <c r="H8" s="3" t="s">
        <v>314</v>
      </c>
      <c r="I8" s="3" t="s">
        <v>39</v>
      </c>
      <c r="J8" s="3"/>
      <c r="K8" s="3" t="s">
        <v>40</v>
      </c>
      <c r="L8" s="1"/>
      <c r="M8" s="1"/>
      <c r="N8" s="1"/>
      <c r="O8" s="1"/>
      <c r="P8" s="1"/>
      <c r="Q8" s="1"/>
      <c r="R8" s="1"/>
      <c r="S8" s="1"/>
      <c r="T8" s="1"/>
      <c r="U8" s="1"/>
      <c r="V8" s="1"/>
    </row>
    <row r="9" spans="1:22">
      <c r="A9" s="1"/>
      <c r="B9" s="1"/>
      <c r="C9" s="1"/>
      <c r="D9" s="1"/>
      <c r="E9" s="1"/>
      <c r="F9" s="1"/>
      <c r="G9" s="1"/>
      <c r="H9" s="1"/>
      <c r="I9" s="1"/>
      <c r="J9" s="1"/>
      <c r="K9" s="1"/>
      <c r="L9" s="1"/>
      <c r="M9" s="1"/>
      <c r="N9" s="1"/>
      <c r="O9" s="1"/>
      <c r="P9" s="1"/>
      <c r="Q9" s="1"/>
      <c r="R9" s="1"/>
      <c r="S9" s="1"/>
      <c r="T9" s="1"/>
      <c r="U9" s="1"/>
      <c r="V9" s="1"/>
    </row>
    <row r="10" spans="1:22">
      <c r="A10" s="1"/>
      <c r="B10" s="1"/>
      <c r="C10" s="1"/>
      <c r="D10" s="1"/>
      <c r="E10" s="1"/>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K1"/>
    <mergeCell ref="A2:K2"/>
  </mergeCells>
  <dataValidations count="1">
    <dataValidation type="list" sqref="K5:K8" xr:uid="{00000000-0002-0000-0600-000000000000}">
      <formula1>"À exécuter,Conforme,Non conforme,Bloqué"</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00"/>
  <sheetViews>
    <sheetView workbookViewId="0">
      <selection sqref="A1:I1"/>
    </sheetView>
  </sheetViews>
  <sheetFormatPr baseColWidth="10" defaultColWidth="8.88671875" defaultRowHeight="14.4"/>
  <cols>
    <col min="1" max="1" width="10" customWidth="1"/>
    <col min="2" max="2" width="38" customWidth="1"/>
    <col min="3" max="3" width="16" customWidth="1"/>
    <col min="4" max="4" width="28" customWidth="1"/>
    <col min="5" max="5" width="40" customWidth="1"/>
    <col min="6" max="6" width="14" customWidth="1"/>
    <col min="7" max="7" width="16" customWidth="1"/>
    <col min="8" max="8" width="34" customWidth="1"/>
    <col min="9" max="9" width="18" customWidth="1"/>
  </cols>
  <sheetData>
    <row r="1" spans="1:22" ht="22.35" customHeight="1">
      <c r="A1" s="9" t="s">
        <v>315</v>
      </c>
      <c r="B1" s="10"/>
      <c r="C1" s="10"/>
      <c r="D1" s="10"/>
      <c r="E1" s="10"/>
      <c r="F1" s="10"/>
      <c r="G1" s="10"/>
      <c r="H1" s="10"/>
      <c r="I1" s="10"/>
      <c r="J1" s="1"/>
      <c r="K1" s="1"/>
      <c r="L1" s="1"/>
      <c r="M1" s="1"/>
      <c r="N1" s="1"/>
      <c r="O1" s="1"/>
      <c r="P1" s="1"/>
      <c r="Q1" s="1"/>
      <c r="R1" s="1"/>
      <c r="S1" s="1"/>
      <c r="T1" s="1"/>
      <c r="U1" s="1"/>
      <c r="V1" s="1"/>
    </row>
    <row r="2" spans="1:22" ht="27.15" customHeight="1">
      <c r="A2" s="11" t="s">
        <v>316</v>
      </c>
      <c r="B2" s="12"/>
      <c r="C2" s="12"/>
      <c r="D2" s="12"/>
      <c r="E2" s="12"/>
      <c r="F2" s="12"/>
      <c r="G2" s="12"/>
      <c r="H2" s="12"/>
      <c r="I2" s="12"/>
      <c r="J2" s="1"/>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1</v>
      </c>
      <c r="C4" s="2" t="s">
        <v>317</v>
      </c>
      <c r="D4" s="2" t="s">
        <v>318</v>
      </c>
      <c r="E4" s="2" t="s">
        <v>319</v>
      </c>
      <c r="F4" s="2" t="s">
        <v>320</v>
      </c>
      <c r="G4" s="2" t="s">
        <v>321</v>
      </c>
      <c r="H4" s="2" t="s">
        <v>31</v>
      </c>
      <c r="I4" s="2" t="s">
        <v>216</v>
      </c>
      <c r="J4" s="1"/>
      <c r="K4" s="1"/>
      <c r="L4" s="1"/>
      <c r="M4" s="1"/>
      <c r="N4" s="1"/>
      <c r="O4" s="1"/>
      <c r="P4" s="1"/>
      <c r="Q4" s="1"/>
      <c r="R4" s="1"/>
      <c r="S4" s="1"/>
      <c r="T4" s="1"/>
      <c r="U4" s="1"/>
      <c r="V4" s="1"/>
    </row>
    <row r="5" spans="1:22">
      <c r="A5" s="3" t="s">
        <v>322</v>
      </c>
      <c r="B5" s="3" t="s">
        <v>323</v>
      </c>
      <c r="C5" s="3" t="s">
        <v>39</v>
      </c>
      <c r="D5" s="3" t="s">
        <v>324</v>
      </c>
      <c r="E5" s="3" t="s">
        <v>325</v>
      </c>
      <c r="F5" s="3"/>
      <c r="G5" s="3"/>
      <c r="H5" s="3"/>
      <c r="I5" s="3" t="s">
        <v>40</v>
      </c>
      <c r="J5" s="1"/>
      <c r="K5" s="1"/>
      <c r="L5" s="1"/>
      <c r="M5" s="1"/>
      <c r="N5" s="1"/>
      <c r="O5" s="1"/>
      <c r="P5" s="1"/>
      <c r="Q5" s="1"/>
      <c r="R5" s="1"/>
      <c r="S5" s="1"/>
      <c r="T5" s="1"/>
      <c r="U5" s="1"/>
      <c r="V5" s="1"/>
    </row>
    <row r="6" spans="1:22">
      <c r="A6" s="3" t="s">
        <v>326</v>
      </c>
      <c r="B6" s="3" t="s">
        <v>327</v>
      </c>
      <c r="C6" s="3" t="s">
        <v>39</v>
      </c>
      <c r="D6" s="3" t="s">
        <v>324</v>
      </c>
      <c r="E6" s="3" t="s">
        <v>328</v>
      </c>
      <c r="F6" s="3"/>
      <c r="G6" s="3"/>
      <c r="H6" s="3"/>
      <c r="I6" s="3" t="s">
        <v>40</v>
      </c>
      <c r="J6" s="1"/>
      <c r="K6" s="1"/>
      <c r="L6" s="1"/>
      <c r="M6" s="1"/>
      <c r="N6" s="1"/>
      <c r="O6" s="1"/>
      <c r="P6" s="1"/>
      <c r="Q6" s="1"/>
      <c r="R6" s="1"/>
      <c r="S6" s="1"/>
      <c r="T6" s="1"/>
      <c r="U6" s="1"/>
      <c r="V6" s="1"/>
    </row>
    <row r="7" spans="1:22">
      <c r="A7" s="3" t="s">
        <v>329</v>
      </c>
      <c r="B7" s="3" t="s">
        <v>330</v>
      </c>
      <c r="C7" s="3" t="s">
        <v>39</v>
      </c>
      <c r="D7" s="3" t="s">
        <v>324</v>
      </c>
      <c r="E7" s="3" t="s">
        <v>331</v>
      </c>
      <c r="F7" s="3"/>
      <c r="G7" s="3"/>
      <c r="H7" s="3"/>
      <c r="I7" s="3" t="s">
        <v>40</v>
      </c>
      <c r="J7" s="1"/>
      <c r="K7" s="1"/>
      <c r="L7" s="1"/>
      <c r="M7" s="1"/>
      <c r="N7" s="1"/>
      <c r="O7" s="1"/>
      <c r="P7" s="1"/>
      <c r="Q7" s="1"/>
      <c r="R7" s="1"/>
      <c r="S7" s="1"/>
      <c r="T7" s="1"/>
      <c r="U7" s="1"/>
      <c r="V7" s="1"/>
    </row>
    <row r="8" spans="1:22">
      <c r="A8" s="3" t="s">
        <v>332</v>
      </c>
      <c r="B8" s="3" t="s">
        <v>333</v>
      </c>
      <c r="C8" s="3" t="s">
        <v>39</v>
      </c>
      <c r="D8" s="3" t="s">
        <v>324</v>
      </c>
      <c r="E8" s="3" t="s">
        <v>17</v>
      </c>
      <c r="F8" s="3"/>
      <c r="G8" s="3"/>
      <c r="H8" s="3"/>
      <c r="I8" s="3" t="s">
        <v>40</v>
      </c>
      <c r="J8" s="1"/>
      <c r="K8" s="1"/>
      <c r="L8" s="1"/>
      <c r="M8" s="1"/>
      <c r="N8" s="1"/>
      <c r="O8" s="1"/>
      <c r="P8" s="1"/>
      <c r="Q8" s="1"/>
      <c r="R8" s="1"/>
      <c r="S8" s="1"/>
      <c r="T8" s="1"/>
      <c r="U8" s="1"/>
      <c r="V8" s="1"/>
    </row>
    <row r="9" spans="1:22">
      <c r="A9" s="3" t="s">
        <v>334</v>
      </c>
      <c r="B9" s="3" t="s">
        <v>335</v>
      </c>
      <c r="C9" s="3" t="s">
        <v>39</v>
      </c>
      <c r="D9" s="3" t="s">
        <v>324</v>
      </c>
      <c r="E9" s="3" t="s">
        <v>336</v>
      </c>
      <c r="F9" s="3"/>
      <c r="G9" s="3"/>
      <c r="H9" s="3"/>
      <c r="I9" s="3" t="s">
        <v>40</v>
      </c>
      <c r="J9" s="1"/>
      <c r="K9" s="1"/>
      <c r="L9" s="1"/>
      <c r="M9" s="1"/>
      <c r="N9" s="1"/>
      <c r="O9" s="1"/>
      <c r="P9" s="1"/>
      <c r="Q9" s="1"/>
      <c r="R9" s="1"/>
      <c r="S9" s="1"/>
      <c r="T9" s="1"/>
      <c r="U9" s="1"/>
      <c r="V9" s="1"/>
    </row>
    <row r="10" spans="1:22">
      <c r="A10" s="3" t="s">
        <v>337</v>
      </c>
      <c r="B10" s="3" t="s">
        <v>338</v>
      </c>
      <c r="C10" s="3" t="s">
        <v>339</v>
      </c>
      <c r="D10" s="3" t="s">
        <v>340</v>
      </c>
      <c r="E10" s="3" t="s">
        <v>341</v>
      </c>
      <c r="F10" s="3"/>
      <c r="G10" s="3"/>
      <c r="H10" s="3"/>
      <c r="I10" s="3" t="s">
        <v>40</v>
      </c>
      <c r="J10" s="1"/>
      <c r="K10" s="1"/>
      <c r="L10" s="1"/>
      <c r="M10" s="1"/>
      <c r="N10" s="1"/>
      <c r="O10" s="1"/>
      <c r="P10" s="1"/>
      <c r="Q10" s="1"/>
      <c r="R10" s="1"/>
      <c r="S10" s="1"/>
      <c r="T10" s="1"/>
      <c r="U10" s="1"/>
      <c r="V10" s="1"/>
    </row>
    <row r="11" spans="1:22">
      <c r="A11" s="3" t="s">
        <v>342</v>
      </c>
      <c r="B11" s="3" t="s">
        <v>343</v>
      </c>
      <c r="C11" s="3" t="s">
        <v>344</v>
      </c>
      <c r="D11" s="3" t="s">
        <v>345</v>
      </c>
      <c r="E11" s="3" t="s">
        <v>346</v>
      </c>
      <c r="F11" s="3"/>
      <c r="G11" s="3"/>
      <c r="H11" s="3"/>
      <c r="I11" s="3" t="s">
        <v>40</v>
      </c>
      <c r="J11" s="1"/>
      <c r="K11" s="1"/>
      <c r="L11" s="1"/>
      <c r="M11" s="1"/>
      <c r="N11" s="1"/>
      <c r="O11" s="1"/>
      <c r="P11" s="1"/>
      <c r="Q11" s="1"/>
      <c r="R11" s="1"/>
      <c r="S11" s="1"/>
      <c r="T11" s="1"/>
      <c r="U11" s="1"/>
      <c r="V11" s="1"/>
    </row>
    <row r="12" spans="1:22">
      <c r="A12" s="3" t="s">
        <v>347</v>
      </c>
      <c r="B12" s="3" t="s">
        <v>110</v>
      </c>
      <c r="C12" s="3" t="s">
        <v>39</v>
      </c>
      <c r="D12" s="3" t="s">
        <v>348</v>
      </c>
      <c r="E12" s="3" t="s">
        <v>349</v>
      </c>
      <c r="F12" s="3"/>
      <c r="G12" s="3"/>
      <c r="H12" s="3"/>
      <c r="I12" s="3" t="s">
        <v>40</v>
      </c>
      <c r="J12" s="1"/>
      <c r="K12" s="1"/>
      <c r="L12" s="1"/>
      <c r="M12" s="1"/>
      <c r="N12" s="1"/>
      <c r="O12" s="1"/>
      <c r="P12" s="1"/>
      <c r="Q12" s="1"/>
      <c r="R12" s="1"/>
      <c r="S12" s="1"/>
      <c r="T12" s="1"/>
      <c r="U12" s="1"/>
      <c r="V12" s="1"/>
    </row>
    <row r="13" spans="1:22">
      <c r="A13" s="3" t="s">
        <v>350</v>
      </c>
      <c r="B13" s="3" t="s">
        <v>119</v>
      </c>
      <c r="C13" s="3" t="s">
        <v>39</v>
      </c>
      <c r="D13" s="3" t="s">
        <v>348</v>
      </c>
      <c r="E13" s="3" t="s">
        <v>351</v>
      </c>
      <c r="F13" s="3"/>
      <c r="G13" s="3"/>
      <c r="H13" s="3"/>
      <c r="I13" s="3" t="s">
        <v>40</v>
      </c>
      <c r="J13" s="1"/>
      <c r="K13" s="1"/>
      <c r="L13" s="1"/>
      <c r="M13" s="1"/>
      <c r="N13" s="1"/>
      <c r="O13" s="1"/>
      <c r="P13" s="1"/>
      <c r="Q13" s="1"/>
      <c r="R13" s="1"/>
      <c r="S13" s="1"/>
      <c r="T13" s="1"/>
      <c r="U13" s="1"/>
      <c r="V13" s="1"/>
    </row>
    <row r="14" spans="1:22">
      <c r="A14" s="3" t="s">
        <v>352</v>
      </c>
      <c r="B14" s="3" t="s">
        <v>353</v>
      </c>
      <c r="C14" s="3" t="s">
        <v>39</v>
      </c>
      <c r="D14" s="3" t="s">
        <v>324</v>
      </c>
      <c r="E14" s="3" t="s">
        <v>354</v>
      </c>
      <c r="F14" s="3"/>
      <c r="G14" s="3"/>
      <c r="H14" s="3"/>
      <c r="I14" s="3" t="s">
        <v>40</v>
      </c>
      <c r="J14" s="1"/>
      <c r="K14" s="1"/>
      <c r="L14" s="1"/>
      <c r="M14" s="1"/>
      <c r="N14" s="1"/>
      <c r="O14" s="1"/>
      <c r="P14" s="1"/>
      <c r="Q14" s="1"/>
      <c r="R14" s="1"/>
      <c r="S14" s="1"/>
      <c r="T14" s="1"/>
      <c r="U14" s="1"/>
      <c r="V14" s="1"/>
    </row>
    <row r="15" spans="1:22">
      <c r="A15" s="3" t="s">
        <v>355</v>
      </c>
      <c r="B15" s="3" t="s">
        <v>356</v>
      </c>
      <c r="C15" s="3" t="s">
        <v>39</v>
      </c>
      <c r="D15" s="3" t="s">
        <v>324</v>
      </c>
      <c r="E15" s="3" t="s">
        <v>357</v>
      </c>
      <c r="F15" s="3"/>
      <c r="G15" s="3"/>
      <c r="H15" s="3"/>
      <c r="I15" s="3" t="s">
        <v>40</v>
      </c>
      <c r="J15" s="1"/>
      <c r="K15" s="1"/>
      <c r="L15" s="1"/>
      <c r="M15" s="1"/>
      <c r="N15" s="1"/>
      <c r="O15" s="1"/>
      <c r="P15" s="1"/>
      <c r="Q15" s="1"/>
      <c r="R15" s="1"/>
      <c r="S15" s="1"/>
      <c r="T15" s="1"/>
      <c r="U15" s="1"/>
      <c r="V15" s="1"/>
    </row>
    <row r="16" spans="1:22">
      <c r="A16" s="3" t="s">
        <v>358</v>
      </c>
      <c r="B16" s="3" t="s">
        <v>359</v>
      </c>
      <c r="C16" s="3" t="s">
        <v>39</v>
      </c>
      <c r="D16" s="3" t="s">
        <v>360</v>
      </c>
      <c r="E16" s="3" t="s">
        <v>361</v>
      </c>
      <c r="F16" s="3"/>
      <c r="G16" s="3"/>
      <c r="H16" s="3"/>
      <c r="I16" s="3" t="s">
        <v>40</v>
      </c>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3" t="s">
        <v>359</v>
      </c>
      <c r="B19" s="13"/>
      <c r="C19" s="13"/>
      <c r="D19" s="13"/>
      <c r="E19" s="13"/>
      <c r="F19" s="13"/>
      <c r="G19" s="13"/>
      <c r="H19" s="13"/>
      <c r="I19" s="13"/>
      <c r="J19" s="1"/>
      <c r="K19" s="1"/>
      <c r="L19" s="1"/>
      <c r="M19" s="1"/>
      <c r="N19" s="1"/>
      <c r="O19" s="1"/>
      <c r="P19" s="1"/>
      <c r="Q19" s="1"/>
      <c r="R19" s="1"/>
      <c r="S19" s="1"/>
      <c r="T19" s="1"/>
      <c r="U19" s="1"/>
      <c r="V19" s="1"/>
    </row>
    <row r="20" spans="1:22">
      <c r="A20" s="14" t="s">
        <v>362</v>
      </c>
      <c r="B20" s="14"/>
      <c r="C20" s="14"/>
      <c r="D20" s="14"/>
      <c r="E20" s="14"/>
      <c r="F20" s="14"/>
      <c r="G20" s="14"/>
      <c r="H20" s="14"/>
      <c r="I20" s="14"/>
      <c r="J20" s="1"/>
      <c r="K20" s="1"/>
      <c r="L20" s="1"/>
      <c r="M20" s="1"/>
      <c r="N20" s="1"/>
      <c r="O20" s="1"/>
      <c r="P20" s="1"/>
      <c r="Q20" s="1"/>
      <c r="R20" s="1"/>
      <c r="S20" s="1"/>
      <c r="T20" s="1"/>
      <c r="U20" s="1"/>
      <c r="V20" s="1"/>
    </row>
    <row r="21" spans="1:22">
      <c r="A21" s="14"/>
      <c r="B21" s="14"/>
      <c r="C21" s="14"/>
      <c r="D21" s="14"/>
      <c r="E21" s="14"/>
      <c r="F21" s="14"/>
      <c r="G21" s="14"/>
      <c r="H21" s="14"/>
      <c r="I21" s="14"/>
      <c r="J21" s="1"/>
      <c r="K21" s="1"/>
      <c r="L21" s="1"/>
      <c r="M21" s="1"/>
      <c r="N21" s="1"/>
      <c r="O21" s="1"/>
      <c r="P21" s="1"/>
      <c r="Q21" s="1"/>
      <c r="R21" s="1"/>
      <c r="S21" s="1"/>
      <c r="T21" s="1"/>
      <c r="U21" s="1"/>
      <c r="V21" s="1"/>
    </row>
    <row r="22" spans="1:22">
      <c r="A22" s="14"/>
      <c r="B22" s="14"/>
      <c r="C22" s="14"/>
      <c r="D22" s="14"/>
      <c r="E22" s="14"/>
      <c r="F22" s="14"/>
      <c r="G22" s="14"/>
      <c r="H22" s="14"/>
      <c r="I22" s="14"/>
      <c r="J22" s="1"/>
      <c r="K22" s="1"/>
      <c r="L22" s="1"/>
      <c r="M22" s="1"/>
      <c r="N22" s="1"/>
      <c r="O22" s="1"/>
      <c r="P22" s="1"/>
      <c r="Q22" s="1"/>
      <c r="R22" s="1"/>
      <c r="S22" s="1"/>
      <c r="T22" s="1"/>
      <c r="U22" s="1"/>
      <c r="V22" s="1"/>
    </row>
    <row r="23" spans="1:22">
      <c r="A23" s="14"/>
      <c r="B23" s="14"/>
      <c r="C23" s="14"/>
      <c r="D23" s="14"/>
      <c r="E23" s="14"/>
      <c r="F23" s="14"/>
      <c r="G23" s="14"/>
      <c r="H23" s="14"/>
      <c r="I23" s="14"/>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4">
    <mergeCell ref="A1:I1"/>
    <mergeCell ref="A2:I2"/>
    <mergeCell ref="A19:I19"/>
    <mergeCell ref="A20:I23"/>
  </mergeCells>
  <dataValidations count="2">
    <dataValidation type="list" sqref="F5:G16" xr:uid="{00000000-0002-0000-0700-000000000000}">
      <formula1>"Oui,Non,N/A"</formula1>
    </dataValidation>
    <dataValidation type="list" sqref="I5:I16" xr:uid="{00000000-0002-0000-0700-000002000000}">
      <formula1>"À exécuter,Conforme,Non conforme,Bloqué"</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00"/>
  <sheetViews>
    <sheetView workbookViewId="0">
      <selection sqref="A1:L1"/>
    </sheetView>
  </sheetViews>
  <sheetFormatPr baseColWidth="10" defaultColWidth="8.88671875" defaultRowHeight="14.4"/>
  <cols>
    <col min="1" max="1" width="10" customWidth="1"/>
    <col min="2" max="2" width="16" customWidth="1"/>
    <col min="3" max="4" width="18" customWidth="1"/>
    <col min="5" max="5" width="22" customWidth="1"/>
    <col min="6" max="7" width="46" customWidth="1"/>
    <col min="8" max="8" width="18" customWidth="1"/>
    <col min="9" max="9" width="14" customWidth="1"/>
    <col min="10" max="10" width="30" customWidth="1"/>
    <col min="11" max="11" width="34" customWidth="1"/>
    <col min="12" max="12" width="16" customWidth="1"/>
  </cols>
  <sheetData>
    <row r="1" spans="1:22" ht="22.35" customHeight="1">
      <c r="A1" s="9" t="s">
        <v>363</v>
      </c>
      <c r="B1" s="10"/>
      <c r="C1" s="10"/>
      <c r="D1" s="10"/>
      <c r="E1" s="10"/>
      <c r="F1" s="10"/>
      <c r="G1" s="10"/>
      <c r="H1" s="10"/>
      <c r="I1" s="10"/>
      <c r="J1" s="10"/>
      <c r="K1" s="10"/>
      <c r="L1" s="10"/>
      <c r="M1" s="1"/>
      <c r="N1" s="1"/>
      <c r="O1" s="1"/>
      <c r="P1" s="1"/>
      <c r="Q1" s="1"/>
      <c r="R1" s="1"/>
      <c r="S1" s="1"/>
      <c r="T1" s="1"/>
      <c r="U1" s="1"/>
      <c r="V1" s="1"/>
    </row>
    <row r="2" spans="1:22" ht="27.15" customHeight="1">
      <c r="A2" s="11" t="s">
        <v>364</v>
      </c>
      <c r="B2" s="12"/>
      <c r="C2" s="12"/>
      <c r="D2" s="12"/>
      <c r="E2" s="12"/>
      <c r="F2" s="12"/>
      <c r="G2" s="12"/>
      <c r="H2" s="12"/>
      <c r="I2" s="12"/>
      <c r="J2" s="12"/>
      <c r="K2" s="12"/>
      <c r="L2" s="12"/>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21</v>
      </c>
      <c r="B4" s="2" t="s">
        <v>17</v>
      </c>
      <c r="C4" s="2" t="s">
        <v>365</v>
      </c>
      <c r="D4" s="2" t="s">
        <v>286</v>
      </c>
      <c r="E4" s="2" t="s">
        <v>366</v>
      </c>
      <c r="F4" s="2" t="s">
        <v>26</v>
      </c>
      <c r="G4" s="2" t="s">
        <v>256</v>
      </c>
      <c r="H4" s="2" t="s">
        <v>367</v>
      </c>
      <c r="I4" s="2" t="s">
        <v>368</v>
      </c>
      <c r="J4" s="2" t="s">
        <v>369</v>
      </c>
      <c r="K4" s="2" t="s">
        <v>31</v>
      </c>
      <c r="L4" s="2" t="s">
        <v>370</v>
      </c>
      <c r="M4" s="1"/>
      <c r="N4" s="1"/>
      <c r="O4" s="1"/>
      <c r="P4" s="1"/>
      <c r="Q4" s="1"/>
      <c r="R4" s="1"/>
      <c r="S4" s="1"/>
      <c r="T4" s="1"/>
      <c r="U4" s="1"/>
      <c r="V4" s="1"/>
    </row>
    <row r="5" spans="1:22">
      <c r="A5" s="3" t="s">
        <v>32</v>
      </c>
      <c r="B5" s="8"/>
      <c r="C5" s="3"/>
      <c r="D5" s="3" t="s">
        <v>295</v>
      </c>
      <c r="E5" s="3"/>
      <c r="F5" s="3"/>
      <c r="G5" s="3"/>
      <c r="H5" s="3" t="s">
        <v>40</v>
      </c>
      <c r="I5" s="3"/>
      <c r="J5" s="3"/>
      <c r="K5" s="3"/>
      <c r="L5" s="3"/>
      <c r="M5" s="1"/>
      <c r="N5" s="1"/>
      <c r="O5" s="1"/>
      <c r="P5" s="1"/>
      <c r="Q5" s="1"/>
      <c r="R5" s="1"/>
      <c r="S5" s="1"/>
      <c r="T5" s="1"/>
      <c r="U5" s="1"/>
      <c r="V5" s="1"/>
    </row>
    <row r="6" spans="1:22">
      <c r="A6" s="3" t="s">
        <v>41</v>
      </c>
      <c r="B6" s="8"/>
      <c r="C6" s="3"/>
      <c r="D6" s="3" t="s">
        <v>295</v>
      </c>
      <c r="E6" s="3"/>
      <c r="F6" s="3"/>
      <c r="G6" s="3"/>
      <c r="H6" s="3" t="s">
        <v>40</v>
      </c>
      <c r="I6" s="3"/>
      <c r="J6" s="3"/>
      <c r="K6" s="3"/>
      <c r="L6" s="3"/>
      <c r="M6" s="1"/>
      <c r="N6" s="1"/>
      <c r="O6" s="1"/>
      <c r="P6" s="1"/>
      <c r="Q6" s="1"/>
      <c r="R6" s="1"/>
      <c r="S6" s="1"/>
      <c r="T6" s="1"/>
      <c r="U6" s="1"/>
      <c r="V6" s="1"/>
    </row>
    <row r="7" spans="1:22">
      <c r="A7" s="3" t="s">
        <v>47</v>
      </c>
      <c r="B7" s="8"/>
      <c r="C7" s="3"/>
      <c r="D7" s="3" t="s">
        <v>295</v>
      </c>
      <c r="E7" s="3"/>
      <c r="F7" s="3"/>
      <c r="G7" s="3"/>
      <c r="H7" s="3" t="s">
        <v>40</v>
      </c>
      <c r="I7" s="3"/>
      <c r="J7" s="3"/>
      <c r="K7" s="3"/>
      <c r="L7" s="3"/>
      <c r="M7" s="1"/>
      <c r="N7" s="1"/>
      <c r="O7" s="1"/>
      <c r="P7" s="1"/>
      <c r="Q7" s="1"/>
      <c r="R7" s="1"/>
      <c r="S7" s="1"/>
      <c r="T7" s="1"/>
      <c r="U7" s="1"/>
      <c r="V7" s="1"/>
    </row>
    <row r="8" spans="1:22">
      <c r="A8" s="3" t="s">
        <v>53</v>
      </c>
      <c r="B8" s="8"/>
      <c r="C8" s="3"/>
      <c r="D8" s="3" t="s">
        <v>295</v>
      </c>
      <c r="E8" s="3"/>
      <c r="F8" s="3"/>
      <c r="G8" s="3"/>
      <c r="H8" s="3" t="s">
        <v>40</v>
      </c>
      <c r="I8" s="3"/>
      <c r="J8" s="3"/>
      <c r="K8" s="3"/>
      <c r="L8" s="3"/>
      <c r="M8" s="1"/>
      <c r="N8" s="1"/>
      <c r="O8" s="1"/>
      <c r="P8" s="1"/>
      <c r="Q8" s="1"/>
      <c r="R8" s="1"/>
      <c r="S8" s="1"/>
      <c r="T8" s="1"/>
      <c r="U8" s="1"/>
      <c r="V8" s="1"/>
    </row>
    <row r="9" spans="1:22">
      <c r="A9" s="3" t="s">
        <v>59</v>
      </c>
      <c r="B9" s="8"/>
      <c r="C9" s="3"/>
      <c r="D9" s="3" t="s">
        <v>295</v>
      </c>
      <c r="E9" s="3"/>
      <c r="F9" s="3"/>
      <c r="G9" s="3"/>
      <c r="H9" s="3" t="s">
        <v>40</v>
      </c>
      <c r="I9" s="3"/>
      <c r="J9" s="3"/>
      <c r="K9" s="3"/>
      <c r="L9" s="3"/>
      <c r="M9" s="1"/>
      <c r="N9" s="1"/>
      <c r="O9" s="1"/>
      <c r="P9" s="1"/>
      <c r="Q9" s="1"/>
      <c r="R9" s="1"/>
      <c r="S9" s="1"/>
      <c r="T9" s="1"/>
      <c r="U9" s="1"/>
      <c r="V9" s="1"/>
    </row>
    <row r="10" spans="1:22">
      <c r="A10" s="3" t="s">
        <v>66</v>
      </c>
      <c r="B10" s="8"/>
      <c r="C10" s="3"/>
      <c r="D10" s="3" t="s">
        <v>295</v>
      </c>
      <c r="E10" s="3"/>
      <c r="F10" s="3"/>
      <c r="G10" s="3"/>
      <c r="H10" s="3" t="s">
        <v>40</v>
      </c>
      <c r="I10" s="3"/>
      <c r="J10" s="3"/>
      <c r="K10" s="3"/>
      <c r="L10" s="3"/>
      <c r="M10" s="1"/>
      <c r="N10" s="1"/>
      <c r="O10" s="1"/>
      <c r="P10" s="1"/>
      <c r="Q10" s="1"/>
      <c r="R10" s="1"/>
      <c r="S10" s="1"/>
      <c r="T10" s="1"/>
      <c r="U10" s="1"/>
      <c r="V10" s="1"/>
    </row>
    <row r="11" spans="1:22">
      <c r="A11" s="3" t="s">
        <v>72</v>
      </c>
      <c r="B11" s="8"/>
      <c r="C11" s="3"/>
      <c r="D11" s="3" t="s">
        <v>295</v>
      </c>
      <c r="E11" s="3"/>
      <c r="F11" s="3"/>
      <c r="G11" s="3"/>
      <c r="H11" s="3" t="s">
        <v>40</v>
      </c>
      <c r="I11" s="3"/>
      <c r="J11" s="3"/>
      <c r="K11" s="3"/>
      <c r="L11" s="3"/>
      <c r="M11" s="1"/>
      <c r="N11" s="1"/>
      <c r="O11" s="1"/>
      <c r="P11" s="1"/>
      <c r="Q11" s="1"/>
      <c r="R11" s="1"/>
      <c r="S11" s="1"/>
      <c r="T11" s="1"/>
      <c r="U11" s="1"/>
      <c r="V11" s="1"/>
    </row>
    <row r="12" spans="1:22">
      <c r="A12" s="3" t="s">
        <v>78</v>
      </c>
      <c r="B12" s="8"/>
      <c r="C12" s="3"/>
      <c r="D12" s="3" t="s">
        <v>295</v>
      </c>
      <c r="E12" s="3"/>
      <c r="F12" s="3"/>
      <c r="G12" s="3"/>
      <c r="H12" s="3" t="s">
        <v>40</v>
      </c>
      <c r="I12" s="3"/>
      <c r="J12" s="3"/>
      <c r="K12" s="3"/>
      <c r="L12" s="3"/>
      <c r="M12" s="1"/>
      <c r="N12" s="1"/>
      <c r="O12" s="1"/>
      <c r="P12" s="1"/>
      <c r="Q12" s="1"/>
      <c r="R12" s="1"/>
      <c r="S12" s="1"/>
      <c r="T12" s="1"/>
      <c r="U12" s="1"/>
      <c r="V12" s="1"/>
    </row>
    <row r="13" spans="1:22">
      <c r="A13" s="3" t="s">
        <v>85</v>
      </c>
      <c r="B13" s="8"/>
      <c r="C13" s="3"/>
      <c r="D13" s="3" t="s">
        <v>295</v>
      </c>
      <c r="E13" s="3"/>
      <c r="F13" s="3"/>
      <c r="G13" s="3"/>
      <c r="H13" s="3" t="s">
        <v>40</v>
      </c>
      <c r="I13" s="3"/>
      <c r="J13" s="3"/>
      <c r="K13" s="3"/>
      <c r="L13" s="3"/>
      <c r="M13" s="1"/>
      <c r="N13" s="1"/>
      <c r="O13" s="1"/>
      <c r="P13" s="1"/>
      <c r="Q13" s="1"/>
      <c r="R13" s="1"/>
      <c r="S13" s="1"/>
      <c r="T13" s="1"/>
      <c r="U13" s="1"/>
      <c r="V13" s="1"/>
    </row>
    <row r="14" spans="1:22">
      <c r="A14" s="3" t="s">
        <v>91</v>
      </c>
      <c r="B14" s="8"/>
      <c r="C14" s="3"/>
      <c r="D14" s="3" t="s">
        <v>295</v>
      </c>
      <c r="E14" s="3"/>
      <c r="F14" s="3"/>
      <c r="G14" s="3"/>
      <c r="H14" s="3" t="s">
        <v>40</v>
      </c>
      <c r="I14" s="3"/>
      <c r="J14" s="3"/>
      <c r="K14" s="3"/>
      <c r="L14" s="3"/>
      <c r="M14" s="1"/>
      <c r="N14" s="1"/>
      <c r="O14" s="1"/>
      <c r="P14" s="1"/>
      <c r="Q14" s="1"/>
      <c r="R14" s="1"/>
      <c r="S14" s="1"/>
      <c r="T14" s="1"/>
      <c r="U14" s="1"/>
      <c r="V14" s="1"/>
    </row>
    <row r="15" spans="1:22">
      <c r="A15" s="3" t="s">
        <v>97</v>
      </c>
      <c r="B15" s="8"/>
      <c r="C15" s="3"/>
      <c r="D15" s="3" t="s">
        <v>295</v>
      </c>
      <c r="E15" s="3"/>
      <c r="F15" s="3"/>
      <c r="G15" s="3"/>
      <c r="H15" s="3" t="s">
        <v>40</v>
      </c>
      <c r="I15" s="3"/>
      <c r="J15" s="3"/>
      <c r="K15" s="3"/>
      <c r="L15" s="3"/>
      <c r="M15" s="1"/>
      <c r="N15" s="1"/>
      <c r="O15" s="1"/>
      <c r="P15" s="1"/>
      <c r="Q15" s="1"/>
      <c r="R15" s="1"/>
      <c r="S15" s="1"/>
      <c r="T15" s="1"/>
      <c r="U15" s="1"/>
      <c r="V15" s="1"/>
    </row>
    <row r="16" spans="1:22">
      <c r="A16" s="3" t="s">
        <v>103</v>
      </c>
      <c r="B16" s="8"/>
      <c r="C16" s="3"/>
      <c r="D16" s="3" t="s">
        <v>295</v>
      </c>
      <c r="E16" s="3"/>
      <c r="F16" s="3"/>
      <c r="G16" s="3"/>
      <c r="H16" s="3" t="s">
        <v>40</v>
      </c>
      <c r="I16" s="3"/>
      <c r="J16" s="3"/>
      <c r="K16" s="3"/>
      <c r="L16" s="3"/>
      <c r="M16" s="1"/>
      <c r="N16" s="1"/>
      <c r="O16" s="1"/>
      <c r="P16" s="1"/>
      <c r="Q16" s="1"/>
      <c r="R16" s="1"/>
      <c r="S16" s="1"/>
      <c r="T16" s="1"/>
      <c r="U16" s="1"/>
      <c r="V16" s="1"/>
    </row>
    <row r="17" spans="1:22">
      <c r="A17" s="3" t="s">
        <v>109</v>
      </c>
      <c r="B17" s="8"/>
      <c r="C17" s="3"/>
      <c r="D17" s="3" t="s">
        <v>295</v>
      </c>
      <c r="E17" s="3"/>
      <c r="F17" s="3"/>
      <c r="G17" s="3"/>
      <c r="H17" s="3" t="s">
        <v>40</v>
      </c>
      <c r="I17" s="3"/>
      <c r="J17" s="3"/>
      <c r="K17" s="3"/>
      <c r="L17" s="3"/>
      <c r="M17" s="1"/>
      <c r="N17" s="1"/>
      <c r="O17" s="1"/>
      <c r="P17" s="1"/>
      <c r="Q17" s="1"/>
      <c r="R17" s="1"/>
      <c r="S17" s="1"/>
      <c r="T17" s="1"/>
      <c r="U17" s="1"/>
      <c r="V17" s="1"/>
    </row>
    <row r="18" spans="1:22">
      <c r="A18" s="3" t="s">
        <v>115</v>
      </c>
      <c r="B18" s="8"/>
      <c r="C18" s="3"/>
      <c r="D18" s="3" t="s">
        <v>295</v>
      </c>
      <c r="E18" s="3"/>
      <c r="F18" s="3"/>
      <c r="G18" s="3"/>
      <c r="H18" s="3" t="s">
        <v>40</v>
      </c>
      <c r="I18" s="3"/>
      <c r="J18" s="3"/>
      <c r="K18" s="3"/>
      <c r="L18" s="3"/>
      <c r="M18" s="1"/>
      <c r="N18" s="1"/>
      <c r="O18" s="1"/>
      <c r="P18" s="1"/>
      <c r="Q18" s="1"/>
      <c r="R18" s="1"/>
      <c r="S18" s="1"/>
      <c r="T18" s="1"/>
      <c r="U18" s="1"/>
      <c r="V18" s="1"/>
    </row>
    <row r="19" spans="1:22">
      <c r="A19" s="3" t="s">
        <v>118</v>
      </c>
      <c r="B19" s="8"/>
      <c r="C19" s="3"/>
      <c r="D19" s="3" t="s">
        <v>295</v>
      </c>
      <c r="E19" s="3"/>
      <c r="F19" s="3"/>
      <c r="G19" s="3"/>
      <c r="H19" s="3" t="s">
        <v>40</v>
      </c>
      <c r="I19" s="3"/>
      <c r="J19" s="3"/>
      <c r="K19" s="3"/>
      <c r="L19" s="3"/>
      <c r="M19" s="1"/>
      <c r="N19" s="1"/>
      <c r="O19" s="1"/>
      <c r="P19" s="1"/>
      <c r="Q19" s="1"/>
      <c r="R19" s="1"/>
      <c r="S19" s="1"/>
      <c r="T19" s="1"/>
      <c r="U19" s="1"/>
      <c r="V19" s="1"/>
    </row>
    <row r="20" spans="1:22">
      <c r="A20" s="3" t="s">
        <v>124</v>
      </c>
      <c r="B20" s="8"/>
      <c r="C20" s="3"/>
      <c r="D20" s="3" t="s">
        <v>295</v>
      </c>
      <c r="E20" s="3"/>
      <c r="F20" s="3"/>
      <c r="G20" s="3"/>
      <c r="H20" s="3" t="s">
        <v>40</v>
      </c>
      <c r="I20" s="3"/>
      <c r="J20" s="3"/>
      <c r="K20" s="3"/>
      <c r="L20" s="3"/>
      <c r="M20" s="1"/>
      <c r="N20" s="1"/>
      <c r="O20" s="1"/>
      <c r="P20" s="1"/>
      <c r="Q20" s="1"/>
      <c r="R20" s="1"/>
      <c r="S20" s="1"/>
      <c r="T20" s="1"/>
      <c r="U20" s="1"/>
      <c r="V20" s="1"/>
    </row>
    <row r="21" spans="1:22">
      <c r="A21" s="3" t="s">
        <v>130</v>
      </c>
      <c r="B21" s="8"/>
      <c r="C21" s="3"/>
      <c r="D21" s="3" t="s">
        <v>295</v>
      </c>
      <c r="E21" s="3"/>
      <c r="F21" s="3"/>
      <c r="G21" s="3"/>
      <c r="H21" s="3" t="s">
        <v>40</v>
      </c>
      <c r="I21" s="3"/>
      <c r="J21" s="3"/>
      <c r="K21" s="3"/>
      <c r="L21" s="3"/>
      <c r="M21" s="1"/>
      <c r="N21" s="1"/>
      <c r="O21" s="1"/>
      <c r="P21" s="1"/>
      <c r="Q21" s="1"/>
      <c r="R21" s="1"/>
      <c r="S21" s="1"/>
      <c r="T21" s="1"/>
      <c r="U21" s="1"/>
      <c r="V21" s="1"/>
    </row>
    <row r="22" spans="1:22">
      <c r="A22" s="3" t="s">
        <v>135</v>
      </c>
      <c r="B22" s="8"/>
      <c r="C22" s="3"/>
      <c r="D22" s="3" t="s">
        <v>295</v>
      </c>
      <c r="E22" s="3"/>
      <c r="F22" s="3"/>
      <c r="G22" s="3"/>
      <c r="H22" s="3" t="s">
        <v>40</v>
      </c>
      <c r="I22" s="3"/>
      <c r="J22" s="3"/>
      <c r="K22" s="3"/>
      <c r="L22" s="3"/>
      <c r="M22" s="1"/>
      <c r="N22" s="1"/>
      <c r="O22" s="1"/>
      <c r="P22" s="1"/>
      <c r="Q22" s="1"/>
      <c r="R22" s="1"/>
      <c r="S22" s="1"/>
      <c r="T22" s="1"/>
      <c r="U22" s="1"/>
      <c r="V22" s="1"/>
    </row>
    <row r="23" spans="1:22">
      <c r="A23" s="3" t="s">
        <v>141</v>
      </c>
      <c r="B23" s="8"/>
      <c r="C23" s="3"/>
      <c r="D23" s="3" t="s">
        <v>295</v>
      </c>
      <c r="E23" s="3"/>
      <c r="F23" s="3"/>
      <c r="G23" s="3"/>
      <c r="H23" s="3" t="s">
        <v>40</v>
      </c>
      <c r="I23" s="3"/>
      <c r="J23" s="3"/>
      <c r="K23" s="3"/>
      <c r="L23" s="3"/>
      <c r="M23" s="1"/>
      <c r="N23" s="1"/>
      <c r="O23" s="1"/>
      <c r="P23" s="1"/>
      <c r="Q23" s="1"/>
      <c r="R23" s="1"/>
      <c r="S23" s="1"/>
      <c r="T23" s="1"/>
      <c r="U23" s="1"/>
      <c r="V23" s="1"/>
    </row>
    <row r="24" spans="1:22">
      <c r="A24" s="3" t="s">
        <v>147</v>
      </c>
      <c r="B24" s="8"/>
      <c r="C24" s="3"/>
      <c r="D24" s="3" t="s">
        <v>295</v>
      </c>
      <c r="E24" s="3"/>
      <c r="F24" s="3"/>
      <c r="G24" s="3"/>
      <c r="H24" s="3" t="s">
        <v>40</v>
      </c>
      <c r="I24" s="3"/>
      <c r="J24" s="3"/>
      <c r="K24" s="3"/>
      <c r="L24" s="3"/>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L1"/>
    <mergeCell ref="A2:L2"/>
  </mergeCells>
  <conditionalFormatting sqref="H5:H24">
    <cfRule type="expression" dxfId="4" priority="1">
      <formula>$H5="Conforme"</formula>
    </cfRule>
    <cfRule type="expression" dxfId="3" priority="2">
      <formula>$H5="Non conforme"</formula>
    </cfRule>
    <cfRule type="expression" dxfId="2" priority="3">
      <formula>$H5="Bloqué"</formula>
    </cfRule>
  </conditionalFormatting>
  <dataValidations count="1">
    <dataValidation type="list" sqref="H5:H24" xr:uid="{00000000-0002-0000-0800-000000000000}">
      <formula1>"À exécuter,Conforme,Non conforme,Bloqué,N/A"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00"/>
  <sheetViews>
    <sheetView workbookViewId="0">
      <selection sqref="A1:M1"/>
    </sheetView>
  </sheetViews>
  <sheetFormatPr baseColWidth="10" defaultColWidth="8.88671875" defaultRowHeight="14.4"/>
  <cols>
    <col min="1" max="1" width="12" customWidth="1"/>
    <col min="2" max="2" width="10" customWidth="1"/>
    <col min="3" max="3" width="16" customWidth="1"/>
    <col min="4" max="4" width="50" customWidth="1"/>
    <col min="5" max="5" width="14" customWidth="1"/>
    <col min="6" max="6" width="22" customWidth="1"/>
    <col min="7" max="7" width="18" customWidth="1"/>
    <col min="8" max="8" width="16" customWidth="1"/>
    <col min="9" max="9" width="22" customWidth="1"/>
    <col min="10" max="10" width="44" customWidth="1"/>
    <col min="11" max="11" width="16" customWidth="1"/>
    <col min="12" max="12" width="18" customWidth="1"/>
    <col min="13" max="13" width="22" customWidth="1"/>
  </cols>
  <sheetData>
    <row r="1" spans="1:22" ht="22.35" customHeight="1">
      <c r="A1" s="9" t="s">
        <v>371</v>
      </c>
      <c r="B1" s="10"/>
      <c r="C1" s="10"/>
      <c r="D1" s="10"/>
      <c r="E1" s="10"/>
      <c r="F1" s="10"/>
      <c r="G1" s="10"/>
      <c r="H1" s="10"/>
      <c r="I1" s="10"/>
      <c r="J1" s="10"/>
      <c r="K1" s="10"/>
      <c r="L1" s="10"/>
      <c r="M1" s="10"/>
      <c r="N1" s="1"/>
      <c r="O1" s="1"/>
      <c r="P1" s="1"/>
      <c r="Q1" s="1"/>
      <c r="R1" s="1"/>
      <c r="S1" s="1"/>
      <c r="T1" s="1"/>
      <c r="U1" s="1"/>
      <c r="V1" s="1"/>
    </row>
    <row r="2" spans="1:22" ht="27.15" customHeight="1">
      <c r="A2" s="11" t="s">
        <v>372</v>
      </c>
      <c r="B2" s="12"/>
      <c r="C2" s="12"/>
      <c r="D2" s="12"/>
      <c r="E2" s="12"/>
      <c r="F2" s="12"/>
      <c r="G2" s="12"/>
      <c r="H2" s="12"/>
      <c r="I2" s="12"/>
      <c r="J2" s="12"/>
      <c r="K2" s="12"/>
      <c r="L2" s="12"/>
      <c r="M2" s="12"/>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368</v>
      </c>
      <c r="B4" s="2" t="s">
        <v>21</v>
      </c>
      <c r="C4" s="2" t="s">
        <v>373</v>
      </c>
      <c r="D4" s="2" t="s">
        <v>156</v>
      </c>
      <c r="E4" s="2" t="s">
        <v>27</v>
      </c>
      <c r="F4" s="2" t="s">
        <v>374</v>
      </c>
      <c r="G4" s="2" t="s">
        <v>365</v>
      </c>
      <c r="H4" s="2" t="s">
        <v>367</v>
      </c>
      <c r="I4" s="2" t="s">
        <v>30</v>
      </c>
      <c r="J4" s="2" t="s">
        <v>375</v>
      </c>
      <c r="K4" s="2" t="s">
        <v>376</v>
      </c>
      <c r="L4" s="2" t="s">
        <v>377</v>
      </c>
      <c r="M4" s="2" t="s">
        <v>378</v>
      </c>
      <c r="N4" s="1"/>
      <c r="O4" s="1"/>
      <c r="P4" s="1"/>
      <c r="Q4" s="1"/>
      <c r="R4" s="1"/>
      <c r="S4" s="1"/>
      <c r="T4" s="1"/>
      <c r="U4" s="1"/>
      <c r="V4" s="1"/>
    </row>
    <row r="5" spans="1:22">
      <c r="A5" s="3" t="s">
        <v>379</v>
      </c>
      <c r="B5" s="3"/>
      <c r="C5" s="8"/>
      <c r="D5" s="3"/>
      <c r="E5" s="3"/>
      <c r="F5" s="3"/>
      <c r="G5" s="3"/>
      <c r="H5" s="3" t="s">
        <v>380</v>
      </c>
      <c r="I5" s="3"/>
      <c r="J5" s="3"/>
      <c r="K5" s="8"/>
      <c r="L5" s="3"/>
      <c r="M5" s="3"/>
      <c r="N5" s="1"/>
      <c r="O5" s="1"/>
      <c r="P5" s="1"/>
      <c r="Q5" s="1"/>
      <c r="R5" s="1"/>
      <c r="S5" s="1"/>
      <c r="T5" s="1"/>
      <c r="U5" s="1"/>
      <c r="V5" s="1"/>
    </row>
    <row r="6" spans="1:22">
      <c r="A6" s="3" t="s">
        <v>381</v>
      </c>
      <c r="B6" s="3"/>
      <c r="C6" s="8"/>
      <c r="D6" s="3"/>
      <c r="E6" s="3"/>
      <c r="F6" s="3"/>
      <c r="G6" s="3"/>
      <c r="H6" s="3" t="s">
        <v>380</v>
      </c>
      <c r="I6" s="3"/>
      <c r="J6" s="3"/>
      <c r="K6" s="8"/>
      <c r="L6" s="3"/>
      <c r="M6" s="3"/>
      <c r="N6" s="1"/>
      <c r="O6" s="1"/>
      <c r="P6" s="1"/>
      <c r="Q6" s="1"/>
      <c r="R6" s="1"/>
      <c r="S6" s="1"/>
      <c r="T6" s="1"/>
      <c r="U6" s="1"/>
      <c r="V6" s="1"/>
    </row>
    <row r="7" spans="1:22">
      <c r="A7" s="3" t="s">
        <v>382</v>
      </c>
      <c r="B7" s="3"/>
      <c r="C7" s="8"/>
      <c r="D7" s="3"/>
      <c r="E7" s="3"/>
      <c r="F7" s="3"/>
      <c r="G7" s="3"/>
      <c r="H7" s="3" t="s">
        <v>380</v>
      </c>
      <c r="I7" s="3"/>
      <c r="J7" s="3"/>
      <c r="K7" s="8"/>
      <c r="L7" s="3"/>
      <c r="M7" s="3"/>
      <c r="N7" s="1"/>
      <c r="O7" s="1"/>
      <c r="P7" s="1"/>
      <c r="Q7" s="1"/>
      <c r="R7" s="1"/>
      <c r="S7" s="1"/>
      <c r="T7" s="1"/>
      <c r="U7" s="1"/>
      <c r="V7" s="1"/>
    </row>
    <row r="8" spans="1:22">
      <c r="A8" s="3" t="s">
        <v>383</v>
      </c>
      <c r="B8" s="3"/>
      <c r="C8" s="8"/>
      <c r="D8" s="3"/>
      <c r="E8" s="3"/>
      <c r="F8" s="3"/>
      <c r="G8" s="3"/>
      <c r="H8" s="3" t="s">
        <v>380</v>
      </c>
      <c r="I8" s="3"/>
      <c r="J8" s="3"/>
      <c r="K8" s="8"/>
      <c r="L8" s="3"/>
      <c r="M8" s="3"/>
      <c r="N8" s="1"/>
      <c r="O8" s="1"/>
      <c r="P8" s="1"/>
      <c r="Q8" s="1"/>
      <c r="R8" s="1"/>
      <c r="S8" s="1"/>
      <c r="T8" s="1"/>
      <c r="U8" s="1"/>
      <c r="V8" s="1"/>
    </row>
    <row r="9" spans="1:22">
      <c r="A9" s="3" t="s">
        <v>384</v>
      </c>
      <c r="B9" s="3"/>
      <c r="C9" s="8"/>
      <c r="D9" s="3"/>
      <c r="E9" s="3"/>
      <c r="F9" s="3"/>
      <c r="G9" s="3"/>
      <c r="H9" s="3" t="s">
        <v>380</v>
      </c>
      <c r="I9" s="3"/>
      <c r="J9" s="3"/>
      <c r="K9" s="8"/>
      <c r="L9" s="3"/>
      <c r="M9" s="3"/>
      <c r="N9" s="1"/>
      <c r="O9" s="1"/>
      <c r="P9" s="1"/>
      <c r="Q9" s="1"/>
      <c r="R9" s="1"/>
      <c r="S9" s="1"/>
      <c r="T9" s="1"/>
      <c r="U9" s="1"/>
      <c r="V9" s="1"/>
    </row>
    <row r="10" spans="1:22">
      <c r="A10" s="3" t="s">
        <v>385</v>
      </c>
      <c r="B10" s="3"/>
      <c r="C10" s="8"/>
      <c r="D10" s="3"/>
      <c r="E10" s="3"/>
      <c r="F10" s="3"/>
      <c r="G10" s="3"/>
      <c r="H10" s="3" t="s">
        <v>380</v>
      </c>
      <c r="I10" s="3"/>
      <c r="J10" s="3"/>
      <c r="K10" s="8"/>
      <c r="L10" s="3"/>
      <c r="M10" s="3"/>
      <c r="N10" s="1"/>
      <c r="O10" s="1"/>
      <c r="P10" s="1"/>
      <c r="Q10" s="1"/>
      <c r="R10" s="1"/>
      <c r="S10" s="1"/>
      <c r="T10" s="1"/>
      <c r="U10" s="1"/>
      <c r="V10" s="1"/>
    </row>
    <row r="11" spans="1:22">
      <c r="A11" s="3" t="s">
        <v>386</v>
      </c>
      <c r="B11" s="3"/>
      <c r="C11" s="8"/>
      <c r="D11" s="3"/>
      <c r="E11" s="3"/>
      <c r="F11" s="3"/>
      <c r="G11" s="3"/>
      <c r="H11" s="3" t="s">
        <v>380</v>
      </c>
      <c r="I11" s="3"/>
      <c r="J11" s="3"/>
      <c r="K11" s="8"/>
      <c r="L11" s="3"/>
      <c r="M11" s="3"/>
      <c r="N11" s="1"/>
      <c r="O11" s="1"/>
      <c r="P11" s="1"/>
      <c r="Q11" s="1"/>
      <c r="R11" s="1"/>
      <c r="S11" s="1"/>
      <c r="T11" s="1"/>
      <c r="U11" s="1"/>
      <c r="V11" s="1"/>
    </row>
    <row r="12" spans="1:22">
      <c r="A12" s="3" t="s">
        <v>387</v>
      </c>
      <c r="B12" s="3"/>
      <c r="C12" s="8"/>
      <c r="D12" s="3"/>
      <c r="E12" s="3"/>
      <c r="F12" s="3"/>
      <c r="G12" s="3"/>
      <c r="H12" s="3" t="s">
        <v>380</v>
      </c>
      <c r="I12" s="3"/>
      <c r="J12" s="3"/>
      <c r="K12" s="8"/>
      <c r="L12" s="3"/>
      <c r="M12" s="3"/>
      <c r="N12" s="1"/>
      <c r="O12" s="1"/>
      <c r="P12" s="1"/>
      <c r="Q12" s="1"/>
      <c r="R12" s="1"/>
      <c r="S12" s="1"/>
      <c r="T12" s="1"/>
      <c r="U12" s="1"/>
      <c r="V12" s="1"/>
    </row>
    <row r="13" spans="1:22">
      <c r="A13" s="3" t="s">
        <v>388</v>
      </c>
      <c r="B13" s="3"/>
      <c r="C13" s="8"/>
      <c r="D13" s="3"/>
      <c r="E13" s="3"/>
      <c r="F13" s="3"/>
      <c r="G13" s="3"/>
      <c r="H13" s="3" t="s">
        <v>380</v>
      </c>
      <c r="I13" s="3"/>
      <c r="J13" s="3"/>
      <c r="K13" s="8"/>
      <c r="L13" s="3"/>
      <c r="M13" s="3"/>
      <c r="N13" s="1"/>
      <c r="O13" s="1"/>
      <c r="P13" s="1"/>
      <c r="Q13" s="1"/>
      <c r="R13" s="1"/>
      <c r="S13" s="1"/>
      <c r="T13" s="1"/>
      <c r="U13" s="1"/>
      <c r="V13" s="1"/>
    </row>
    <row r="14" spans="1:22">
      <c r="A14" s="3" t="s">
        <v>389</v>
      </c>
      <c r="B14" s="3"/>
      <c r="C14" s="8"/>
      <c r="D14" s="3"/>
      <c r="E14" s="3"/>
      <c r="F14" s="3"/>
      <c r="G14" s="3"/>
      <c r="H14" s="3" t="s">
        <v>380</v>
      </c>
      <c r="I14" s="3"/>
      <c r="J14" s="3"/>
      <c r="K14" s="8"/>
      <c r="L14" s="3"/>
      <c r="M14" s="3"/>
      <c r="N14" s="1"/>
      <c r="O14" s="1"/>
      <c r="P14" s="1"/>
      <c r="Q14" s="1"/>
      <c r="R14" s="1"/>
      <c r="S14" s="1"/>
      <c r="T14" s="1"/>
      <c r="U14" s="1"/>
      <c r="V14" s="1"/>
    </row>
    <row r="15" spans="1:22">
      <c r="A15" s="3" t="s">
        <v>390</v>
      </c>
      <c r="B15" s="3"/>
      <c r="C15" s="8"/>
      <c r="D15" s="3"/>
      <c r="E15" s="3"/>
      <c r="F15" s="3"/>
      <c r="G15" s="3"/>
      <c r="H15" s="3" t="s">
        <v>380</v>
      </c>
      <c r="I15" s="3"/>
      <c r="J15" s="3"/>
      <c r="K15" s="8"/>
      <c r="L15" s="3"/>
      <c r="M15" s="3"/>
      <c r="N15" s="1"/>
      <c r="O15" s="1"/>
      <c r="P15" s="1"/>
      <c r="Q15" s="1"/>
      <c r="R15" s="1"/>
      <c r="S15" s="1"/>
      <c r="T15" s="1"/>
      <c r="U15" s="1"/>
      <c r="V15" s="1"/>
    </row>
    <row r="16" spans="1:22">
      <c r="A16" s="3" t="s">
        <v>391</v>
      </c>
      <c r="B16" s="3"/>
      <c r="C16" s="8"/>
      <c r="D16" s="3"/>
      <c r="E16" s="3"/>
      <c r="F16" s="3"/>
      <c r="G16" s="3"/>
      <c r="H16" s="3" t="s">
        <v>380</v>
      </c>
      <c r="I16" s="3"/>
      <c r="J16" s="3"/>
      <c r="K16" s="8"/>
      <c r="L16" s="3"/>
      <c r="M16" s="3"/>
      <c r="N16" s="1"/>
      <c r="O16" s="1"/>
      <c r="P16" s="1"/>
      <c r="Q16" s="1"/>
      <c r="R16" s="1"/>
      <c r="S16" s="1"/>
      <c r="T16" s="1"/>
      <c r="U16" s="1"/>
      <c r="V16" s="1"/>
    </row>
    <row r="17" spans="1:22">
      <c r="A17" s="3" t="s">
        <v>392</v>
      </c>
      <c r="B17" s="3"/>
      <c r="C17" s="8"/>
      <c r="D17" s="3"/>
      <c r="E17" s="3"/>
      <c r="F17" s="3"/>
      <c r="G17" s="3"/>
      <c r="H17" s="3" t="s">
        <v>380</v>
      </c>
      <c r="I17" s="3"/>
      <c r="J17" s="3"/>
      <c r="K17" s="8"/>
      <c r="L17" s="3"/>
      <c r="M17" s="3"/>
      <c r="N17" s="1"/>
      <c r="O17" s="1"/>
      <c r="P17" s="1"/>
      <c r="Q17" s="1"/>
      <c r="R17" s="1"/>
      <c r="S17" s="1"/>
      <c r="T17" s="1"/>
      <c r="U17" s="1"/>
      <c r="V17" s="1"/>
    </row>
    <row r="18" spans="1:22">
      <c r="A18" s="3" t="s">
        <v>393</v>
      </c>
      <c r="B18" s="3"/>
      <c r="C18" s="8"/>
      <c r="D18" s="3"/>
      <c r="E18" s="3"/>
      <c r="F18" s="3"/>
      <c r="G18" s="3"/>
      <c r="H18" s="3" t="s">
        <v>380</v>
      </c>
      <c r="I18" s="3"/>
      <c r="J18" s="3"/>
      <c r="K18" s="8"/>
      <c r="L18" s="3"/>
      <c r="M18" s="3"/>
      <c r="N18" s="1"/>
      <c r="O18" s="1"/>
      <c r="P18" s="1"/>
      <c r="Q18" s="1"/>
      <c r="R18" s="1"/>
      <c r="S18" s="1"/>
      <c r="T18" s="1"/>
      <c r="U18" s="1"/>
      <c r="V18" s="1"/>
    </row>
    <row r="19" spans="1:22">
      <c r="A19" s="3" t="s">
        <v>394</v>
      </c>
      <c r="B19" s="3"/>
      <c r="C19" s="8"/>
      <c r="D19" s="3"/>
      <c r="E19" s="3"/>
      <c r="F19" s="3"/>
      <c r="G19" s="3"/>
      <c r="H19" s="3" t="s">
        <v>380</v>
      </c>
      <c r="I19" s="3"/>
      <c r="J19" s="3"/>
      <c r="K19" s="8"/>
      <c r="L19" s="3"/>
      <c r="M19" s="3"/>
      <c r="N19" s="1"/>
      <c r="O19" s="1"/>
      <c r="P19" s="1"/>
      <c r="Q19" s="1"/>
      <c r="R19" s="1"/>
      <c r="S19" s="1"/>
      <c r="T19" s="1"/>
      <c r="U19" s="1"/>
      <c r="V19" s="1"/>
    </row>
    <row r="20" spans="1:22">
      <c r="A20" s="3" t="s">
        <v>395</v>
      </c>
      <c r="B20" s="3"/>
      <c r="C20" s="8"/>
      <c r="D20" s="3"/>
      <c r="E20" s="3"/>
      <c r="F20" s="3"/>
      <c r="G20" s="3"/>
      <c r="H20" s="3" t="s">
        <v>380</v>
      </c>
      <c r="I20" s="3"/>
      <c r="J20" s="3"/>
      <c r="K20" s="8"/>
      <c r="L20" s="3"/>
      <c r="M20" s="3"/>
      <c r="N20" s="1"/>
      <c r="O20" s="1"/>
      <c r="P20" s="1"/>
      <c r="Q20" s="1"/>
      <c r="R20" s="1"/>
      <c r="S20" s="1"/>
      <c r="T20" s="1"/>
      <c r="U20" s="1"/>
      <c r="V20" s="1"/>
    </row>
    <row r="21" spans="1:22">
      <c r="A21" s="3" t="s">
        <v>396</v>
      </c>
      <c r="B21" s="3"/>
      <c r="C21" s="8"/>
      <c r="D21" s="3"/>
      <c r="E21" s="3"/>
      <c r="F21" s="3"/>
      <c r="G21" s="3"/>
      <c r="H21" s="3" t="s">
        <v>380</v>
      </c>
      <c r="I21" s="3"/>
      <c r="J21" s="3"/>
      <c r="K21" s="8"/>
      <c r="L21" s="3"/>
      <c r="M21" s="3"/>
      <c r="N21" s="1"/>
      <c r="O21" s="1"/>
      <c r="P21" s="1"/>
      <c r="Q21" s="1"/>
      <c r="R21" s="1"/>
      <c r="S21" s="1"/>
      <c r="T21" s="1"/>
      <c r="U21" s="1"/>
      <c r="V21" s="1"/>
    </row>
    <row r="22" spans="1:22">
      <c r="A22" s="3" t="s">
        <v>397</v>
      </c>
      <c r="B22" s="3"/>
      <c r="C22" s="8"/>
      <c r="D22" s="3"/>
      <c r="E22" s="3"/>
      <c r="F22" s="3"/>
      <c r="G22" s="3"/>
      <c r="H22" s="3" t="s">
        <v>380</v>
      </c>
      <c r="I22" s="3"/>
      <c r="J22" s="3"/>
      <c r="K22" s="8"/>
      <c r="L22" s="3"/>
      <c r="M22" s="3"/>
      <c r="N22" s="1"/>
      <c r="O22" s="1"/>
      <c r="P22" s="1"/>
      <c r="Q22" s="1"/>
      <c r="R22" s="1"/>
      <c r="S22" s="1"/>
      <c r="T22" s="1"/>
      <c r="U22" s="1"/>
      <c r="V22" s="1"/>
    </row>
    <row r="23" spans="1:22">
      <c r="A23" s="3" t="s">
        <v>398</v>
      </c>
      <c r="B23" s="3"/>
      <c r="C23" s="8"/>
      <c r="D23" s="3"/>
      <c r="E23" s="3"/>
      <c r="F23" s="3"/>
      <c r="G23" s="3"/>
      <c r="H23" s="3" t="s">
        <v>380</v>
      </c>
      <c r="I23" s="3"/>
      <c r="J23" s="3"/>
      <c r="K23" s="8"/>
      <c r="L23" s="3"/>
      <c r="M23" s="3"/>
      <c r="N23" s="1"/>
      <c r="O23" s="1"/>
      <c r="P23" s="1"/>
      <c r="Q23" s="1"/>
      <c r="R23" s="1"/>
      <c r="S23" s="1"/>
      <c r="T23" s="1"/>
      <c r="U23" s="1"/>
      <c r="V23" s="1"/>
    </row>
    <row r="24" spans="1:22">
      <c r="A24" s="3" t="s">
        <v>399</v>
      </c>
      <c r="B24" s="3"/>
      <c r="C24" s="8"/>
      <c r="D24" s="3"/>
      <c r="E24" s="3"/>
      <c r="F24" s="3"/>
      <c r="G24" s="3"/>
      <c r="H24" s="3" t="s">
        <v>380</v>
      </c>
      <c r="I24" s="3"/>
      <c r="J24" s="3"/>
      <c r="K24" s="8"/>
      <c r="L24" s="3"/>
      <c r="M24" s="3"/>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M1"/>
    <mergeCell ref="A2:M2"/>
  </mergeCells>
  <dataValidations count="2">
    <dataValidation type="list" sqref="E5:E24" xr:uid="{00000000-0002-0000-0900-000000000000}">
      <formula1>"Critique,Majeure,Mineure"</formula1>
    </dataValidation>
    <dataValidation type="list" sqref="H5:H24" xr:uid="{00000000-0002-0000-0900-000001000000}">
      <formula1>"Ouvert,En correction,Corrigé,Accepté en l’état,Clos"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00"/>
  <sheetViews>
    <sheetView workbookViewId="0">
      <selection sqref="A1:H1"/>
    </sheetView>
  </sheetViews>
  <sheetFormatPr baseColWidth="10" defaultColWidth="8.88671875" defaultRowHeight="14.4"/>
  <cols>
    <col min="1" max="1" width="34" customWidth="1"/>
    <col min="2" max="2" width="20" customWidth="1"/>
    <col min="4" max="4" width="24" customWidth="1"/>
    <col min="5" max="5" width="26" customWidth="1"/>
    <col min="6" max="6" width="28" customWidth="1"/>
    <col min="7" max="7" width="30" customWidth="1"/>
    <col min="8" max="8" width="32" customWidth="1"/>
  </cols>
  <sheetData>
    <row r="1" spans="1:22" ht="22.35" customHeight="1">
      <c r="A1" s="9" t="s">
        <v>400</v>
      </c>
      <c r="B1" s="10"/>
      <c r="C1" s="10"/>
      <c r="D1" s="10"/>
      <c r="E1" s="10"/>
      <c r="F1" s="10"/>
      <c r="G1" s="10"/>
      <c r="H1" s="10"/>
      <c r="I1" s="1"/>
      <c r="J1" s="1"/>
      <c r="K1" s="1"/>
      <c r="L1" s="1"/>
      <c r="M1" s="1"/>
      <c r="N1" s="1"/>
      <c r="O1" s="1"/>
      <c r="P1" s="1"/>
      <c r="Q1" s="1"/>
      <c r="R1" s="1"/>
      <c r="S1" s="1"/>
      <c r="T1" s="1"/>
      <c r="U1" s="1"/>
      <c r="V1" s="1"/>
    </row>
    <row r="2" spans="1:22" ht="27.15" customHeight="1">
      <c r="A2" s="11" t="s">
        <v>401</v>
      </c>
      <c r="B2" s="12"/>
      <c r="C2" s="12"/>
      <c r="D2" s="12"/>
      <c r="E2" s="12"/>
      <c r="F2" s="12"/>
      <c r="G2" s="12"/>
      <c r="H2" s="12"/>
      <c r="I2" s="1"/>
      <c r="J2" s="1"/>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402</v>
      </c>
      <c r="B4" s="2" t="s">
        <v>403</v>
      </c>
      <c r="C4" s="1"/>
      <c r="D4" s="2" t="s">
        <v>404</v>
      </c>
      <c r="E4" s="2" t="s">
        <v>405</v>
      </c>
      <c r="F4" s="2" t="s">
        <v>406</v>
      </c>
      <c r="G4" s="2" t="s">
        <v>407</v>
      </c>
      <c r="H4" s="2" t="s">
        <v>408</v>
      </c>
      <c r="I4" s="1"/>
      <c r="J4" s="1"/>
      <c r="K4" s="1"/>
      <c r="L4" s="1"/>
      <c r="M4" s="1"/>
      <c r="N4" s="1"/>
      <c r="O4" s="1"/>
      <c r="P4" s="1"/>
      <c r="Q4" s="1"/>
      <c r="R4" s="1"/>
      <c r="S4" s="1"/>
      <c r="T4" s="1"/>
      <c r="U4" s="1"/>
      <c r="V4" s="1"/>
    </row>
    <row r="5" spans="1:22">
      <c r="A5" s="3" t="s">
        <v>409</v>
      </c>
      <c r="B5" s="3">
        <v>20</v>
      </c>
      <c r="C5" s="1"/>
      <c r="D5" s="3" t="s">
        <v>410</v>
      </c>
      <c r="E5" s="3" t="s">
        <v>411</v>
      </c>
      <c r="F5" s="3" t="s">
        <v>412</v>
      </c>
      <c r="G5" s="3" t="s">
        <v>413</v>
      </c>
      <c r="H5" s="3" t="s">
        <v>414</v>
      </c>
      <c r="I5" s="1"/>
      <c r="J5" s="1"/>
      <c r="K5" s="1"/>
      <c r="L5" s="1"/>
      <c r="M5" s="1"/>
      <c r="N5" s="1"/>
      <c r="O5" s="1"/>
      <c r="P5" s="1"/>
      <c r="Q5" s="1"/>
      <c r="R5" s="1"/>
      <c r="S5" s="1"/>
      <c r="T5" s="1"/>
      <c r="U5" s="1"/>
      <c r="V5" s="1"/>
    </row>
    <row r="6" spans="1:22">
      <c r="A6" s="3" t="s">
        <v>415</v>
      </c>
      <c r="B6" s="3">
        <f>COUNTIF('08_Execution_Recette'!H5:H24,"Conforme")</f>
        <v>0</v>
      </c>
      <c r="C6" s="1"/>
      <c r="D6" s="3" t="s">
        <v>92</v>
      </c>
      <c r="E6" s="3" t="s">
        <v>416</v>
      </c>
      <c r="F6" s="3" t="s">
        <v>417</v>
      </c>
      <c r="G6" s="3" t="s">
        <v>418</v>
      </c>
      <c r="H6" s="3" t="s">
        <v>419</v>
      </c>
      <c r="I6" s="1"/>
      <c r="J6" s="1"/>
      <c r="K6" s="1"/>
      <c r="L6" s="1"/>
      <c r="M6" s="1"/>
      <c r="N6" s="1"/>
      <c r="O6" s="1"/>
      <c r="P6" s="1"/>
      <c r="Q6" s="1"/>
      <c r="R6" s="1"/>
      <c r="S6" s="1"/>
      <c r="T6" s="1"/>
      <c r="U6" s="1"/>
      <c r="V6" s="1"/>
    </row>
    <row r="7" spans="1:22">
      <c r="A7" s="3" t="s">
        <v>420</v>
      </c>
      <c r="B7" s="3">
        <f>COUNTIF('08_Execution_Recette'!H5:H24,"Non conforme")</f>
        <v>0</v>
      </c>
      <c r="C7" s="1"/>
      <c r="D7" s="3" t="s">
        <v>421</v>
      </c>
      <c r="E7" s="3" t="s">
        <v>422</v>
      </c>
      <c r="F7" s="3" t="s">
        <v>423</v>
      </c>
      <c r="G7" s="3" t="s">
        <v>424</v>
      </c>
      <c r="H7" s="3" t="s">
        <v>425</v>
      </c>
      <c r="I7" s="1"/>
      <c r="J7" s="1"/>
      <c r="K7" s="1"/>
      <c r="L7" s="1"/>
      <c r="M7" s="1"/>
      <c r="N7" s="1"/>
      <c r="O7" s="1"/>
      <c r="P7" s="1"/>
      <c r="Q7" s="1"/>
      <c r="R7" s="1"/>
      <c r="S7" s="1"/>
      <c r="T7" s="1"/>
      <c r="U7" s="1"/>
      <c r="V7" s="1"/>
    </row>
    <row r="8" spans="1:22">
      <c r="A8" s="3" t="s">
        <v>426</v>
      </c>
      <c r="B8" s="3">
        <f>COUNTIF('08_Execution_Recette'!H5:H24,"Bloqué")</f>
        <v>0</v>
      </c>
      <c r="C8" s="1"/>
      <c r="D8" s="3" t="s">
        <v>98</v>
      </c>
      <c r="E8" s="3" t="s">
        <v>427</v>
      </c>
      <c r="F8" s="3" t="s">
        <v>417</v>
      </c>
      <c r="G8" s="3" t="s">
        <v>418</v>
      </c>
      <c r="H8" s="3" t="s">
        <v>428</v>
      </c>
      <c r="I8" s="1"/>
      <c r="J8" s="1"/>
      <c r="K8" s="1"/>
      <c r="L8" s="1"/>
      <c r="M8" s="1"/>
      <c r="N8" s="1"/>
      <c r="O8" s="1"/>
      <c r="P8" s="1"/>
      <c r="Q8" s="1"/>
      <c r="R8" s="1"/>
      <c r="S8" s="1"/>
      <c r="T8" s="1"/>
      <c r="U8" s="1"/>
      <c r="V8" s="1"/>
    </row>
    <row r="9" spans="1:22">
      <c r="A9" s="3" t="s">
        <v>429</v>
      </c>
      <c r="B9" s="3">
        <f>COUNTIF('08_Execution_Recette'!H5:H24,"À exécuter")</f>
        <v>20</v>
      </c>
      <c r="C9" s="1"/>
      <c r="D9" s="3" t="s">
        <v>430</v>
      </c>
      <c r="E9" s="3" t="s">
        <v>431</v>
      </c>
      <c r="F9" s="3" t="s">
        <v>432</v>
      </c>
      <c r="G9" s="3" t="s">
        <v>433</v>
      </c>
      <c r="H9" s="3" t="s">
        <v>434</v>
      </c>
      <c r="I9" s="1"/>
      <c r="J9" s="1"/>
      <c r="K9" s="1"/>
      <c r="L9" s="1"/>
      <c r="M9" s="1"/>
      <c r="N9" s="1"/>
      <c r="O9" s="1"/>
      <c r="P9" s="1"/>
      <c r="Q9" s="1"/>
      <c r="R9" s="1"/>
      <c r="S9" s="1"/>
      <c r="T9" s="1"/>
      <c r="U9" s="1"/>
      <c r="V9" s="1"/>
    </row>
    <row r="10" spans="1:22">
      <c r="A10" s="3" t="s">
        <v>435</v>
      </c>
      <c r="B10" s="6">
        <f>IFERROR(B6/(B5-B9),0)</f>
        <v>0</v>
      </c>
      <c r="C10" s="1"/>
      <c r="D10" s="3" t="s">
        <v>436</v>
      </c>
      <c r="E10" s="3"/>
      <c r="F10" s="3"/>
      <c r="G10" s="3"/>
      <c r="H10" s="3"/>
      <c r="I10" s="1"/>
      <c r="J10" s="1"/>
      <c r="K10" s="1"/>
      <c r="L10" s="1"/>
      <c r="M10" s="1"/>
      <c r="N10" s="1"/>
      <c r="O10" s="1"/>
      <c r="P10" s="1"/>
      <c r="Q10" s="1"/>
      <c r="R10" s="1"/>
      <c r="S10" s="1"/>
      <c r="T10" s="1"/>
      <c r="U10" s="1"/>
      <c r="V10" s="1"/>
    </row>
    <row r="11" spans="1:22">
      <c r="A11" s="3" t="s">
        <v>437</v>
      </c>
      <c r="B11" s="3">
        <f>COUNTIFS('09_Registre_Anomalies'!E5:E24,"Critique",'09_Registre_Anomalies'!H5:H24,"&lt;&gt;Clos")</f>
        <v>0</v>
      </c>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00"/>
  <sheetViews>
    <sheetView tabSelected="1" topLeftCell="A4" workbookViewId="0">
      <selection sqref="A1:H1"/>
    </sheetView>
  </sheetViews>
  <sheetFormatPr baseColWidth="10" defaultColWidth="8.88671875" defaultRowHeight="14.4"/>
  <cols>
    <col min="1" max="1" width="10" customWidth="1"/>
    <col min="2" max="2" width="52" customWidth="1"/>
    <col min="3" max="3" width="16" customWidth="1"/>
    <col min="4" max="4" width="18" customWidth="1"/>
    <col min="5" max="5" width="22" customWidth="1"/>
    <col min="6" max="6" width="30" customWidth="1"/>
    <col min="7" max="7" width="16" customWidth="1"/>
    <col min="8" max="8" width="34" customWidth="1"/>
  </cols>
  <sheetData>
    <row r="1" spans="1:22" ht="22.35" customHeight="1">
      <c r="A1" s="9" t="s">
        <v>438</v>
      </c>
      <c r="B1" s="10"/>
      <c r="C1" s="10"/>
      <c r="D1" s="10"/>
      <c r="E1" s="10"/>
      <c r="F1" s="10"/>
      <c r="G1" s="10"/>
      <c r="H1" s="10"/>
      <c r="I1" s="1"/>
      <c r="J1" s="1"/>
      <c r="K1" s="1"/>
      <c r="L1" s="1"/>
      <c r="M1" s="1"/>
      <c r="N1" s="1"/>
      <c r="O1" s="1"/>
      <c r="P1" s="1"/>
      <c r="Q1" s="1"/>
      <c r="R1" s="1"/>
      <c r="S1" s="1"/>
      <c r="T1" s="1"/>
      <c r="U1" s="1"/>
      <c r="V1" s="1"/>
    </row>
    <row r="2" spans="1:22" ht="27.15" customHeight="1">
      <c r="A2" s="11" t="s">
        <v>439</v>
      </c>
      <c r="B2" s="12"/>
      <c r="C2" s="12"/>
      <c r="D2" s="12"/>
      <c r="E2" s="12"/>
      <c r="F2" s="12"/>
      <c r="G2" s="12"/>
      <c r="H2" s="12"/>
      <c r="I2" s="1"/>
      <c r="J2" s="1"/>
      <c r="K2" s="1"/>
      <c r="L2" s="1"/>
      <c r="M2" s="1"/>
      <c r="N2" s="1"/>
      <c r="O2" s="1"/>
      <c r="P2" s="1"/>
      <c r="Q2" s="1"/>
      <c r="R2" s="1"/>
      <c r="S2" s="1"/>
      <c r="T2" s="1"/>
      <c r="U2" s="1"/>
      <c r="V2" s="1"/>
    </row>
    <row r="3" spans="1:22">
      <c r="A3" s="1"/>
      <c r="B3" s="1"/>
      <c r="C3" s="1"/>
      <c r="D3" s="1"/>
      <c r="E3" s="1"/>
      <c r="F3" s="1"/>
      <c r="G3" s="1"/>
      <c r="H3" s="1"/>
      <c r="I3" s="1"/>
      <c r="J3" s="1"/>
      <c r="K3" s="1"/>
      <c r="L3" s="1"/>
      <c r="M3" s="1"/>
      <c r="N3" s="1"/>
      <c r="O3" s="1"/>
      <c r="P3" s="1"/>
      <c r="Q3" s="1"/>
      <c r="R3" s="1"/>
      <c r="S3" s="1"/>
      <c r="T3" s="1"/>
      <c r="U3" s="1"/>
      <c r="V3" s="1"/>
    </row>
    <row r="4" spans="1:22" ht="24" customHeight="1">
      <c r="A4" s="2" t="s">
        <v>440</v>
      </c>
      <c r="B4" s="2" t="s">
        <v>168</v>
      </c>
      <c r="C4" s="2" t="s">
        <v>317</v>
      </c>
      <c r="D4" s="2" t="s">
        <v>441</v>
      </c>
      <c r="E4" s="2" t="s">
        <v>30</v>
      </c>
      <c r="F4" s="2" t="s">
        <v>67</v>
      </c>
      <c r="G4" s="2" t="s">
        <v>442</v>
      </c>
      <c r="H4" s="2" t="s">
        <v>31</v>
      </c>
      <c r="I4" s="1"/>
      <c r="J4" s="1"/>
      <c r="K4" s="1"/>
      <c r="L4" s="1"/>
      <c r="M4" s="1"/>
      <c r="N4" s="1"/>
      <c r="O4" s="1"/>
      <c r="P4" s="1"/>
      <c r="Q4" s="1"/>
      <c r="R4" s="1"/>
      <c r="S4" s="1"/>
      <c r="T4" s="1"/>
      <c r="U4" s="1"/>
      <c r="V4" s="1"/>
    </row>
    <row r="5" spans="1:22">
      <c r="A5" s="3" t="s">
        <v>443</v>
      </c>
      <c r="B5" s="3" t="s">
        <v>444</v>
      </c>
      <c r="C5" s="3" t="s">
        <v>39</v>
      </c>
      <c r="D5" s="3"/>
      <c r="E5" s="3"/>
      <c r="F5" s="3"/>
      <c r="G5" s="3" t="s">
        <v>39</v>
      </c>
      <c r="H5" s="3"/>
      <c r="I5" s="1"/>
      <c r="J5" s="1"/>
      <c r="K5" s="1"/>
      <c r="L5" s="1"/>
      <c r="M5" s="1"/>
      <c r="N5" s="1"/>
      <c r="O5" s="1"/>
      <c r="P5" s="1"/>
      <c r="Q5" s="1"/>
      <c r="R5" s="1"/>
      <c r="S5" s="1"/>
      <c r="T5" s="1"/>
      <c r="U5" s="1"/>
      <c r="V5" s="1"/>
    </row>
    <row r="6" spans="1:22">
      <c r="A6" s="3" t="s">
        <v>445</v>
      </c>
      <c r="B6" s="3" t="s">
        <v>446</v>
      </c>
      <c r="C6" s="3" t="s">
        <v>39</v>
      </c>
      <c r="D6" s="3"/>
      <c r="E6" s="3"/>
      <c r="F6" s="3"/>
      <c r="G6" s="3" t="s">
        <v>39</v>
      </c>
      <c r="H6" s="3"/>
      <c r="I6" s="1"/>
      <c r="J6" s="1"/>
      <c r="K6" s="1"/>
      <c r="L6" s="1"/>
      <c r="M6" s="1"/>
      <c r="N6" s="1"/>
      <c r="O6" s="1"/>
      <c r="P6" s="1"/>
      <c r="Q6" s="1"/>
      <c r="R6" s="1"/>
      <c r="S6" s="1"/>
      <c r="T6" s="1"/>
      <c r="U6" s="1"/>
      <c r="V6" s="1"/>
    </row>
    <row r="7" spans="1:22">
      <c r="A7" s="3" t="s">
        <v>447</v>
      </c>
      <c r="B7" s="3" t="s">
        <v>448</v>
      </c>
      <c r="C7" s="3" t="s">
        <v>39</v>
      </c>
      <c r="D7" s="3"/>
      <c r="E7" s="3"/>
      <c r="F7" s="3"/>
      <c r="G7" s="3" t="s">
        <v>39</v>
      </c>
      <c r="H7" s="3"/>
      <c r="I7" s="1"/>
      <c r="J7" s="1"/>
      <c r="K7" s="1"/>
      <c r="L7" s="1"/>
      <c r="M7" s="1"/>
      <c r="N7" s="1"/>
      <c r="O7" s="1"/>
      <c r="P7" s="1"/>
      <c r="Q7" s="1"/>
      <c r="R7" s="1"/>
      <c r="S7" s="1"/>
      <c r="T7" s="1"/>
      <c r="U7" s="1"/>
      <c r="V7" s="1"/>
    </row>
    <row r="8" spans="1:22">
      <c r="A8" s="3" t="s">
        <v>449</v>
      </c>
      <c r="B8" s="3" t="s">
        <v>450</v>
      </c>
      <c r="C8" s="3" t="s">
        <v>39</v>
      </c>
      <c r="D8" s="3"/>
      <c r="E8" s="3"/>
      <c r="F8" s="3"/>
      <c r="G8" s="3" t="s">
        <v>39</v>
      </c>
      <c r="H8" s="3"/>
      <c r="I8" s="1"/>
      <c r="J8" s="1"/>
      <c r="K8" s="1"/>
      <c r="L8" s="1"/>
      <c r="M8" s="1"/>
      <c r="N8" s="1"/>
      <c r="O8" s="1"/>
      <c r="P8" s="1"/>
      <c r="Q8" s="1"/>
      <c r="R8" s="1"/>
      <c r="S8" s="1"/>
      <c r="T8" s="1"/>
      <c r="U8" s="1"/>
      <c r="V8" s="1"/>
    </row>
    <row r="9" spans="1:22">
      <c r="A9" s="3" t="s">
        <v>451</v>
      </c>
      <c r="B9" s="3" t="s">
        <v>452</v>
      </c>
      <c r="C9" s="3" t="s">
        <v>39</v>
      </c>
      <c r="D9" s="3"/>
      <c r="E9" s="3"/>
      <c r="F9" s="3"/>
      <c r="G9" s="3" t="s">
        <v>39</v>
      </c>
      <c r="H9" s="3"/>
      <c r="I9" s="1"/>
      <c r="J9" s="1"/>
      <c r="K9" s="1"/>
      <c r="L9" s="1"/>
      <c r="M9" s="1"/>
      <c r="N9" s="1"/>
      <c r="O9" s="1"/>
      <c r="P9" s="1"/>
      <c r="Q9" s="1"/>
      <c r="R9" s="1"/>
      <c r="S9" s="1"/>
      <c r="T9" s="1"/>
      <c r="U9" s="1"/>
      <c r="V9" s="1"/>
    </row>
    <row r="10" spans="1:22">
      <c r="A10" s="3" t="s">
        <v>453</v>
      </c>
      <c r="B10" s="3" t="s">
        <v>454</v>
      </c>
      <c r="C10" s="3" t="s">
        <v>39</v>
      </c>
      <c r="D10" s="3"/>
      <c r="E10" s="3"/>
      <c r="F10" s="3"/>
      <c r="G10" s="3" t="s">
        <v>39</v>
      </c>
      <c r="H10" s="3"/>
      <c r="I10" s="1"/>
      <c r="J10" s="1"/>
      <c r="K10" s="1"/>
      <c r="L10" s="1"/>
      <c r="M10" s="1"/>
      <c r="N10" s="1"/>
      <c r="O10" s="1"/>
      <c r="P10" s="1"/>
      <c r="Q10" s="1"/>
      <c r="R10" s="1"/>
      <c r="S10" s="1"/>
      <c r="T10" s="1"/>
      <c r="U10" s="1"/>
      <c r="V10" s="1"/>
    </row>
    <row r="11" spans="1:22">
      <c r="A11" s="3" t="s">
        <v>455</v>
      </c>
      <c r="B11" s="3" t="s">
        <v>456</v>
      </c>
      <c r="C11" s="3" t="s">
        <v>39</v>
      </c>
      <c r="D11" s="3"/>
      <c r="E11" s="3"/>
      <c r="F11" s="3"/>
      <c r="G11" s="3" t="s">
        <v>39</v>
      </c>
      <c r="H11" s="3"/>
      <c r="I11" s="1"/>
      <c r="J11" s="1"/>
      <c r="K11" s="1"/>
      <c r="L11" s="1"/>
      <c r="M11" s="1"/>
      <c r="N11" s="1"/>
      <c r="O11" s="1"/>
      <c r="P11" s="1"/>
      <c r="Q11" s="1"/>
      <c r="R11" s="1"/>
      <c r="S11" s="1"/>
      <c r="T11" s="1"/>
      <c r="U11" s="1"/>
      <c r="V11" s="1"/>
    </row>
    <row r="12" spans="1:22">
      <c r="A12" s="3" t="s">
        <v>457</v>
      </c>
      <c r="B12" s="3" t="s">
        <v>458</v>
      </c>
      <c r="C12" s="3" t="s">
        <v>39</v>
      </c>
      <c r="D12" s="3"/>
      <c r="E12" s="3"/>
      <c r="F12" s="3"/>
      <c r="G12" s="3" t="s">
        <v>39</v>
      </c>
      <c r="H12" s="3"/>
      <c r="I12" s="1"/>
      <c r="J12" s="1"/>
      <c r="K12" s="1"/>
      <c r="L12" s="1"/>
      <c r="M12" s="1"/>
      <c r="N12" s="1"/>
      <c r="O12" s="1"/>
      <c r="P12" s="1"/>
      <c r="Q12" s="1"/>
      <c r="R12" s="1"/>
      <c r="S12" s="1"/>
      <c r="T12" s="1"/>
      <c r="U12" s="1"/>
      <c r="V12" s="1"/>
    </row>
    <row r="13" spans="1:22">
      <c r="A13" s="3" t="s">
        <v>459</v>
      </c>
      <c r="B13" s="3" t="s">
        <v>460</v>
      </c>
      <c r="C13" s="3" t="s">
        <v>39</v>
      </c>
      <c r="D13" s="3"/>
      <c r="E13" s="3"/>
      <c r="F13" s="3"/>
      <c r="G13" s="3" t="s">
        <v>39</v>
      </c>
      <c r="H13" s="3"/>
      <c r="I13" s="1"/>
      <c r="J13" s="1"/>
      <c r="K13" s="1"/>
      <c r="L13" s="1"/>
      <c r="M13" s="1"/>
      <c r="N13" s="1"/>
      <c r="O13" s="1"/>
      <c r="P13" s="1"/>
      <c r="Q13" s="1"/>
      <c r="R13" s="1"/>
      <c r="S13" s="1"/>
      <c r="T13" s="1"/>
      <c r="U13" s="1"/>
      <c r="V13" s="1"/>
    </row>
    <row r="14" spans="1:22">
      <c r="A14" s="3" t="s">
        <v>461</v>
      </c>
      <c r="B14" s="3" t="s">
        <v>462</v>
      </c>
      <c r="C14" s="3" t="s">
        <v>39</v>
      </c>
      <c r="D14" s="3"/>
      <c r="E14" s="3"/>
      <c r="F14" s="3"/>
      <c r="G14" s="3" t="s">
        <v>39</v>
      </c>
      <c r="H14" s="3"/>
      <c r="I14" s="1"/>
      <c r="J14" s="1"/>
      <c r="K14" s="1"/>
      <c r="L14" s="1"/>
      <c r="M14" s="1"/>
      <c r="N14" s="1"/>
      <c r="O14" s="1"/>
      <c r="P14" s="1"/>
      <c r="Q14" s="1"/>
      <c r="R14" s="1"/>
      <c r="S14" s="1"/>
      <c r="T14" s="1"/>
      <c r="U14" s="1"/>
      <c r="V14" s="1"/>
    </row>
    <row r="15" spans="1:22">
      <c r="A15" s="3" t="s">
        <v>463</v>
      </c>
      <c r="B15" s="3" t="s">
        <v>464</v>
      </c>
      <c r="C15" s="3" t="s">
        <v>39</v>
      </c>
      <c r="D15" s="3"/>
      <c r="E15" s="3"/>
      <c r="F15" s="3"/>
      <c r="G15" s="3" t="s">
        <v>39</v>
      </c>
      <c r="H15" s="3"/>
      <c r="I15" s="1"/>
      <c r="J15" s="1"/>
      <c r="K15" s="1"/>
      <c r="L15" s="1"/>
      <c r="M15" s="1"/>
      <c r="N15" s="1"/>
      <c r="O15" s="1"/>
      <c r="P15" s="1"/>
      <c r="Q15" s="1"/>
      <c r="R15" s="1"/>
      <c r="S15" s="1"/>
      <c r="T15" s="1"/>
      <c r="U15" s="1"/>
      <c r="V15" s="1"/>
    </row>
    <row r="16" spans="1:22">
      <c r="A16" s="3" t="s">
        <v>465</v>
      </c>
      <c r="B16" s="3" t="s">
        <v>466</v>
      </c>
      <c r="C16" s="3" t="s">
        <v>39</v>
      </c>
      <c r="D16" s="3"/>
      <c r="E16" s="3"/>
      <c r="F16" s="3"/>
      <c r="G16" s="3" t="s">
        <v>39</v>
      </c>
      <c r="H16" s="3"/>
      <c r="I16" s="1"/>
      <c r="J16" s="1"/>
      <c r="K16" s="1"/>
      <c r="L16" s="1"/>
      <c r="M16" s="1"/>
      <c r="N16" s="1"/>
      <c r="O16" s="1"/>
      <c r="P16" s="1"/>
      <c r="Q16" s="1"/>
      <c r="R16" s="1"/>
      <c r="S16" s="1"/>
      <c r="T16" s="1"/>
      <c r="U16" s="1"/>
      <c r="V16" s="1"/>
    </row>
    <row r="17" spans="1:22">
      <c r="A17" s="3" t="s">
        <v>467</v>
      </c>
      <c r="B17" s="3" t="s">
        <v>468</v>
      </c>
      <c r="C17" s="3" t="s">
        <v>39</v>
      </c>
      <c r="D17" s="3"/>
      <c r="E17" s="3"/>
      <c r="F17" s="3"/>
      <c r="G17" s="3" t="s">
        <v>39</v>
      </c>
      <c r="H17" s="3"/>
      <c r="I17" s="1"/>
      <c r="J17" s="1"/>
      <c r="K17" s="1"/>
      <c r="L17" s="1"/>
      <c r="M17" s="1"/>
      <c r="N17" s="1"/>
      <c r="O17" s="1"/>
      <c r="P17" s="1"/>
      <c r="Q17" s="1"/>
      <c r="R17" s="1"/>
      <c r="S17" s="1"/>
      <c r="T17" s="1"/>
      <c r="U17" s="1"/>
      <c r="V17" s="1"/>
    </row>
    <row r="18" spans="1:22">
      <c r="A18" s="3" t="s">
        <v>469</v>
      </c>
      <c r="B18" s="3" t="s">
        <v>470</v>
      </c>
      <c r="C18" s="3" t="s">
        <v>39</v>
      </c>
      <c r="D18" s="3"/>
      <c r="E18" s="3"/>
      <c r="F18" s="3"/>
      <c r="G18" s="3" t="s">
        <v>39</v>
      </c>
      <c r="H18" s="3"/>
      <c r="I18" s="1"/>
      <c r="J18" s="1"/>
      <c r="K18" s="1"/>
      <c r="L18" s="1"/>
      <c r="M18" s="1"/>
      <c r="N18" s="1"/>
      <c r="O18" s="1"/>
      <c r="P18" s="1"/>
      <c r="Q18" s="1"/>
      <c r="R18" s="1"/>
      <c r="S18" s="1"/>
      <c r="T18" s="1"/>
      <c r="U18" s="1"/>
      <c r="V18" s="1"/>
    </row>
    <row r="19" spans="1:22">
      <c r="A19" s="3" t="s">
        <v>471</v>
      </c>
      <c r="B19" s="3" t="s">
        <v>472</v>
      </c>
      <c r="C19" s="3" t="s">
        <v>39</v>
      </c>
      <c r="D19" s="3"/>
      <c r="E19" s="3"/>
      <c r="F19" s="3"/>
      <c r="G19" s="3" t="s">
        <v>39</v>
      </c>
      <c r="H19" s="3"/>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sheetData>
  <mergeCells count="2">
    <mergeCell ref="A1:H1"/>
    <mergeCell ref="A2:H2"/>
  </mergeCells>
  <conditionalFormatting sqref="D5:D19">
    <cfRule type="expression" dxfId="1" priority="1">
      <formula>$D5="Conforme"</formula>
    </cfRule>
    <cfRule type="expression" dxfId="0" priority="2">
      <formula>$D5="Non conforme"</formula>
    </cfRule>
  </conditionalFormatting>
  <dataValidations count="1">
    <dataValidation type="list" sqref="D5:D19" xr:uid="{00000000-0002-0000-0B00-000000000000}">
      <formula1>"À faire,En cours,Conforme,Non conforme,N/A"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00_README</vt:lpstr>
      <vt:lpstr>01_Catalogue_Tests</vt:lpstr>
      <vt:lpstr>02_Cas_Numeriques</vt:lpstr>
      <vt:lpstr>03_Tests_IQP</vt:lpstr>
      <vt:lpstr>04_Statuts_Donnees</vt:lpstr>
      <vt:lpstr>05_Tests_Hard_Gates</vt:lpstr>
      <vt:lpstr>06_Tests_Versionnage</vt:lpstr>
      <vt:lpstr>07_Tests_Restitution</vt:lpstr>
      <vt:lpstr>08_Execution_Recette</vt:lpstr>
      <vt:lpstr>09_Registre_Anomalies</vt:lpstr>
      <vt:lpstr>10_Synthese_Recette</vt:lpstr>
      <vt:lpstr>11_Checklist_PreProd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Boubacar GUIDA</cp:lastModifiedBy>
  <dcterms:modified xsi:type="dcterms:W3CDTF">2026-10-11T20:15:26Z</dcterms:modified>
</cp:coreProperties>
</file>