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FORMATION SG-SERVICE\Activites de la SG-SERVICE\TOLBO\Site-web-GULGO\data\"/>
    </mc:Choice>
  </mc:AlternateContent>
  <xr:revisionPtr revIDLastSave="0" documentId="13_ncr:1_{88246492-E9F6-4D51-9EF3-043E3853A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README" sheetId="1" r:id="rId1"/>
    <sheet name="01_Dimensions" sheetId="2" r:id="rId2"/>
    <sheet name="02_Indicateurs" sheetId="3" r:id="rId3"/>
    <sheet name="03_Variables" sheetId="4" r:id="rId4"/>
    <sheet name="04_Preuves" sheetId="5" r:id="rId5"/>
    <sheet name="05_IQP" sheetId="6" r:id="rId6"/>
    <sheet name="06_Normalisation" sheetId="7" r:id="rId7"/>
    <sheet name="07_Agregation" sheetId="8" r:id="rId8"/>
    <sheet name="08_Statuts" sheetId="9" r:id="rId9"/>
    <sheet name="09_Hard_Gates" sheetId="10" r:id="rId10"/>
    <sheet name="10_Anomalies_Exceptions" sheetId="11" r:id="rId11"/>
    <sheet name="11_Fraicheur" sheetId="12" r:id="rId12"/>
    <sheet name="12_Versionnage" sheetId="13" r:id="rId13"/>
    <sheet name="13_A_Calibrer" sheetId="14" r:id="rId14"/>
    <sheet name="14_Config_Moteur" sheetId="15" r:id="rId15"/>
    <sheet name="15_Sorti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8" l="1"/>
  <c r="E10" i="8" s="1"/>
  <c r="E9" i="8"/>
  <c r="D9" i="8"/>
  <c r="E8" i="8"/>
  <c r="D8" i="8"/>
  <c r="D7" i="8"/>
  <c r="E7" i="8" s="1"/>
  <c r="D6" i="8"/>
  <c r="E6" i="8" s="1"/>
  <c r="D5" i="8"/>
  <c r="D11" i="8" s="1"/>
  <c r="C18" i="6"/>
  <c r="D18" i="6" s="1"/>
  <c r="D17" i="6"/>
  <c r="C17" i="6"/>
  <c r="C16" i="6"/>
  <c r="D16" i="6" s="1"/>
  <c r="C15" i="6"/>
  <c r="D15" i="6" s="1"/>
  <c r="C14" i="6"/>
  <c r="D14" i="6" s="1"/>
  <c r="B19" i="6" s="1"/>
  <c r="C10" i="6"/>
  <c r="D11" i="2"/>
  <c r="E5" i="8" l="1"/>
  <c r="E11" i="8" s="1"/>
  <c r="C12" i="8" s="1"/>
</calcChain>
</file>

<file path=xl/sharedStrings.xml><?xml version="1.0" encoding="utf-8"?>
<sst xmlns="http://schemas.openxmlformats.org/spreadsheetml/2006/main" count="1718" uniqueCount="781">
  <si>
    <t>Livrable technique compagnon des Spécifications fonctionnelles et du Manuel méthodologique. Statut : V1 pré-pilote.</t>
  </si>
  <si>
    <t>Élément</t>
  </si>
  <si>
    <t>Contenu</t>
  </si>
  <si>
    <t>Finalité</t>
  </si>
  <si>
    <t>Fournir à l’ingénieur les objets, paramètres, statuts et règles configurables nécessaires au moteur Score Pass.</t>
  </si>
  <si>
    <t>Référentiel méthodologique</t>
  </si>
  <si>
    <t>Manuel méthodologique Score Pass V1 — chapitres 1 à 14.</t>
  </si>
  <si>
    <t>Référentiel fonctionnel</t>
  </si>
  <si>
    <t>Spécifications fonctionnelles du moteur Score Pass V1.</t>
  </si>
  <si>
    <t>Principe d’implémentation</t>
  </si>
  <si>
    <t>Les règles susceptibles d’évoluer doivent être paramétrables et versionnées ; elles ne doivent pas être codées en dur.</t>
  </si>
  <si>
    <t>Valeurs provisoires</t>
  </si>
  <si>
    <t>Toute cellule ou ligne portant le statut « À calibrer » ou « À formaliser » ne constitue pas une règle définitive.</t>
  </si>
  <si>
    <t>Règle d’arbitrage</t>
  </si>
  <si>
    <t>L’ingénieur ne complète pas une lacune méthodologique par une hypothèse implicite. Toute ambiguïté est remontée au Responsable Méthode.</t>
  </si>
  <si>
    <t>Sorties distinctes</t>
  </si>
  <si>
    <t>Score Pass /100, IQP /100 et couverture méthodologique sont trois résultats distincts.</t>
  </si>
  <si>
    <t>Version du fichier</t>
  </si>
  <si>
    <t>V1.0 — pré-pilote</t>
  </si>
  <si>
    <t>Date de préparation</t>
  </si>
  <si>
    <t>01 — Dimensions Score Pass V1</t>
  </si>
  <si>
    <t>Les pondérations sont des paramètres V1 pré-pilote et doivent rester configurables.</t>
  </si>
  <si>
    <t>Code</t>
  </si>
  <si>
    <t>Dimension</t>
  </si>
  <si>
    <t>Objet général</t>
  </si>
  <si>
    <t>Poids V1</t>
  </si>
  <si>
    <t>Statut</t>
  </si>
  <si>
    <t>Version</t>
  </si>
  <si>
    <t>D1</t>
  </si>
  <si>
    <t>Identité &amp; existence</t>
  </si>
  <si>
    <t>Établir l’identité, l’existence et la réalité observable de l’entreprise</t>
  </si>
  <si>
    <t>À calibrer</t>
  </si>
  <si>
    <t>V1.0</t>
  </si>
  <si>
    <t>D2</t>
  </si>
  <si>
    <t>Traçabilité &amp; qualité des données</t>
  </si>
  <si>
    <t>Apprécier la disponibilité, la cohérence et la traçabilité des informations</t>
  </si>
  <si>
    <t>D3</t>
  </si>
  <si>
    <t>Activité &amp; régularité économique</t>
  </si>
  <si>
    <t>Évaluer la réalité, la continuité et la régularité de l’activité</t>
  </si>
  <si>
    <t>D4</t>
  </si>
  <si>
    <t>Discipline &amp; engagements</t>
  </si>
  <si>
    <t>Apprécier la manière dont l’entreprise respecte et documente ses engagements</t>
  </si>
  <si>
    <t>D5</t>
  </si>
  <si>
    <t>Performance &amp; résilience</t>
  </si>
  <si>
    <t>Apprécier la performance économique observée et certaines fragilités susceptibles d’affecter sa continuité</t>
  </si>
  <si>
    <t>D6</t>
  </si>
  <si>
    <t>Formalisation &amp; gouvernance</t>
  </si>
  <si>
    <t>Évaluer le niveau d’organisation, de formalisation et de gouvernance adapté au profil de l’entreprise</t>
  </si>
  <si>
    <t>TOTAL</t>
  </si>
  <si>
    <t>02 — Dictionnaire des indicateurs V1</t>
  </si>
  <si>
    <t>24 indicateurs initiaux, quatre par dimension. Les méthodes de calcul et seuils détaillés restent à formaliser/calibrer.</t>
  </si>
  <si>
    <t>Indicateur</t>
  </si>
  <si>
    <t>Variables principales</t>
  </si>
  <si>
    <t>Type</t>
  </si>
  <si>
    <t>Applicabilité</t>
  </si>
  <si>
    <t>Normalisation</t>
  </si>
  <si>
    <t>Poids interne</t>
  </si>
  <si>
    <t>Preuve min.</t>
  </si>
  <si>
    <t>Criticité</t>
  </si>
  <si>
    <t>Statut V1</t>
  </si>
  <si>
    <t>Commentaire technique</t>
  </si>
  <si>
    <t>D1.1.1</t>
  </si>
  <si>
    <t>Identité de l’entreprise établie</t>
  </si>
  <si>
    <t>Dénomination ou nom commercial; forme juridique; numéro(s) officiel(s) d’identification; statut d’enregistrement</t>
  </si>
  <si>
    <t>Qualitatif</t>
  </si>
  <si>
    <t>Applicable</t>
  </si>
  <si>
    <t>À formaliser</t>
  </si>
  <si>
    <t>Critique</t>
  </si>
  <si>
    <t>L’absence d’identifiant officiel ne doit pas produire automatiquement un zéro.</t>
  </si>
  <si>
    <t>D1.2.1</t>
  </si>
  <si>
    <t>Responsables identifiés</t>
  </si>
  <si>
    <t>Dirigeants; représentants</t>
  </si>
  <si>
    <t>Importante</t>
  </si>
  <si>
    <t>D1.3.1</t>
  </si>
  <si>
    <t>Localisation observable</t>
  </si>
  <si>
    <t>Adresse; lieu d’activité</t>
  </si>
  <si>
    <t>Mixte</t>
  </si>
  <si>
    <t>D1.4.1</t>
  </si>
  <si>
    <t>Ancienneté de l’activité</t>
  </si>
  <si>
    <t>Date de début; durée</t>
  </si>
  <si>
    <t>Quantitatif</t>
  </si>
  <si>
    <t>Secondaire</t>
  </si>
  <si>
    <t>Cold start à distinguer d’une faiblesse.</t>
  </si>
  <si>
    <t>D2.1.1</t>
  </si>
  <si>
    <t>Disponibilité des données essentielles</t>
  </si>
  <si>
    <t>Variables disponibles</t>
  </si>
  <si>
    <t>D2.2.1</t>
  </si>
  <si>
    <t>Cohérence des informations</t>
  </si>
  <si>
    <t>Écarts et contradictions</t>
  </si>
  <si>
    <t>D2.3.1</t>
  </si>
  <si>
    <t>Traçabilité documentaire</t>
  </si>
  <si>
    <t>Sources et pièces associées</t>
  </si>
  <si>
    <t>D2.4.1</t>
  </si>
  <si>
    <t>Actualisation des informations</t>
  </si>
  <si>
    <t>Dates des données</t>
  </si>
  <si>
    <t>D3.1.1</t>
  </si>
  <si>
    <t>Continuité de l’activité</t>
  </si>
  <si>
    <t>Périodes d’activité</t>
  </si>
  <si>
    <t>D3.2.1</t>
  </si>
  <si>
    <t>Régularité de l’activité observée</t>
  </si>
  <si>
    <t>Mois actifs; interruptions</t>
  </si>
  <si>
    <t>D3.3.1</t>
  </si>
  <si>
    <t>Concentration de l’activité</t>
  </si>
  <si>
    <t>Clients ou sources principales</t>
  </si>
  <si>
    <t>D3.4.1</t>
  </si>
  <si>
    <t>Stabilité de l’activité</t>
  </si>
  <si>
    <t>Variations importantes</t>
  </si>
  <si>
    <t>D4.1.1</t>
  </si>
  <si>
    <t>Respect des engagements observables</t>
  </si>
  <si>
    <t>Incidents documentés</t>
  </si>
  <si>
    <t>D4.2.1</t>
  </si>
  <si>
    <t>Documentation des relations</t>
  </si>
  <si>
    <t>Contrats; commandes</t>
  </si>
  <si>
    <t>D4.3.1</t>
  </si>
  <si>
    <t>Gestion des incidents</t>
  </si>
  <si>
    <t>Litiges résolus ou non</t>
  </si>
  <si>
    <t>D4.4.1</t>
  </si>
  <si>
    <t>Réputation commerciale documentée</t>
  </si>
  <si>
    <t>Retours de tiers autorisés</t>
  </si>
  <si>
    <t>D5.1.1</t>
  </si>
  <si>
    <t>Niveau d’activité observé</t>
  </si>
  <si>
    <t>CA ou volume d’activité</t>
  </si>
  <si>
    <t>Applicable avec adaptation</t>
  </si>
  <si>
    <t>Règles proportionnées au segment.</t>
  </si>
  <si>
    <t>D5.2.1</t>
  </si>
  <si>
    <t>Évolution de l’activité</t>
  </si>
  <si>
    <t>Variation dans le temps</t>
  </si>
  <si>
    <t>D5.3.1</t>
  </si>
  <si>
    <t>Concentration des revenus</t>
  </si>
  <si>
    <t>Part des principaux clients</t>
  </si>
  <si>
    <t>D5.4.1</t>
  </si>
  <si>
    <t>Fragilités observables</t>
  </si>
  <si>
    <t>Interruptions; dépendances</t>
  </si>
  <si>
    <t>D6.1.1</t>
  </si>
  <si>
    <t>Organisation adaptée</t>
  </si>
  <si>
    <t>Organisation observée</t>
  </si>
  <si>
    <t>Ne pas confondre formalisation et crédibilité.</t>
  </si>
  <si>
    <t>D6.2.1</t>
  </si>
  <si>
    <t>Gestion administrative</t>
  </si>
  <si>
    <t>Documents et suivi</t>
  </si>
  <si>
    <t>D6.3.1</t>
  </si>
  <si>
    <t>Séparation des responsabilités</t>
  </si>
  <si>
    <t>Répartition des rôles</t>
  </si>
  <si>
    <t>D6.4.1</t>
  </si>
  <si>
    <t>Outils de suivi</t>
  </si>
  <si>
    <t>Tableaux; registres; logiciels</t>
  </si>
  <si>
    <t>03 — Pré-dictionnaire des variables</t>
  </si>
  <si>
    <t>Première structuration technique issue des variables principales du Manuel. Les identifiants et définitions détaillées doivent être consolidés avant production.</t>
  </si>
  <si>
    <t>Variable_ID</t>
  </si>
  <si>
    <t>Nom variable</t>
  </si>
  <si>
    <t>Type technique</t>
  </si>
  <si>
    <t>Format</t>
  </si>
  <si>
    <t>Unité</t>
  </si>
  <si>
    <t>Source privilégiée</t>
  </si>
  <si>
    <t>Sources alternatives</t>
  </si>
  <si>
    <t>Fraîcheur</t>
  </si>
  <si>
    <t>VAR-D1-01-01</t>
  </si>
  <si>
    <t>Dénomination ou nom commercial</t>
  </si>
  <si>
    <t>Scoring</t>
  </si>
  <si>
    <t>Texte</t>
  </si>
  <si>
    <t>Déclaration + pièces</t>
  </si>
  <si>
    <t>Registres officiels</t>
  </si>
  <si>
    <t>VAR-D1-01-02</t>
  </si>
  <si>
    <t>Forme juridique</t>
  </si>
  <si>
    <t>Catégorie</t>
  </si>
  <si>
    <t>Pièces administratives</t>
  </si>
  <si>
    <t>Déclaration corroborée</t>
  </si>
  <si>
    <t>VAR-D1-01-03</t>
  </si>
  <si>
    <t>Numéro(s) officiel(s) d’identification</t>
  </si>
  <si>
    <t>Registre/document officiel</t>
  </si>
  <si>
    <t>Autres pièces fiables</t>
  </si>
  <si>
    <t>VAR-D1-01-04</t>
  </si>
  <si>
    <t>Statut d’enregistrement</t>
  </si>
  <si>
    <t>VAR-D1-02-01</t>
  </si>
  <si>
    <t>Dirigeants</t>
  </si>
  <si>
    <t>Déclaration + pièce</t>
  </si>
  <si>
    <t>Tiers autorisé</t>
  </si>
  <si>
    <t>VAR-D1-02-02</t>
  </si>
  <si>
    <t>Représentants</t>
  </si>
  <si>
    <t>Descriptive</t>
  </si>
  <si>
    <t>Déclaration + mandat</t>
  </si>
  <si>
    <t>VAR-D1-03-01</t>
  </si>
  <si>
    <t>Adresse</t>
  </si>
  <si>
    <t>Pièce/constat</t>
  </si>
  <si>
    <t>VAR-D1-03-02</t>
  </si>
  <si>
    <t>Lieu d’activité</t>
  </si>
  <si>
    <t>Constat/visite</t>
  </si>
  <si>
    <t>Tiers/document</t>
  </si>
  <si>
    <t>VAR-D1-04-01</t>
  </si>
  <si>
    <t>Date de début effectif de l’activité</t>
  </si>
  <si>
    <t>Date</t>
  </si>
  <si>
    <t>Historique de transactions</t>
  </si>
  <si>
    <t>Documents administratifs; contrats; factures</t>
  </si>
  <si>
    <t>VAR-D1-04-02</t>
  </si>
  <si>
    <t>Durée d’activité</t>
  </si>
  <si>
    <t>Calculée</t>
  </si>
  <si>
    <t>Nombre</t>
  </si>
  <si>
    <t>Mois</t>
  </si>
  <si>
    <t>Calcul</t>
  </si>
  <si>
    <t>Date de début</t>
  </si>
  <si>
    <t>Dynamique</t>
  </si>
  <si>
    <t>VAR-D2-01-01</t>
  </si>
  <si>
    <t>Variables essentielles disponibles</t>
  </si>
  <si>
    <t>Nombre/Ratio</t>
  </si>
  <si>
    <t>%</t>
  </si>
  <si>
    <t>Dossier</t>
  </si>
  <si>
    <t>N/A</t>
  </si>
  <si>
    <t>VAR-D2-02-01</t>
  </si>
  <si>
    <t>Écarts entre informations</t>
  </si>
  <si>
    <t>Contrôle</t>
  </si>
  <si>
    <t>Contrôles croisés</t>
  </si>
  <si>
    <t>VAR-D2-02-02</t>
  </si>
  <si>
    <t>Contradictions non résolues</t>
  </si>
  <si>
    <t>VAR-D2-03-01</t>
  </si>
  <si>
    <t>Sources associées</t>
  </si>
  <si>
    <t>Traçabilité</t>
  </si>
  <si>
    <t>Métadonnées dossier</t>
  </si>
  <si>
    <t>VAR-D2-03-02</t>
  </si>
  <si>
    <t>Pièces associées</t>
  </si>
  <si>
    <t>Dossier preuves</t>
  </si>
  <si>
    <t>VAR-D2-04-01</t>
  </si>
  <si>
    <t>Date des données</t>
  </si>
  <si>
    <t>Métadonnées</t>
  </si>
  <si>
    <t>Selon type de donnée</t>
  </si>
  <si>
    <t>VAR-D3-01-01</t>
  </si>
  <si>
    <t>Périodes d’activité observées</t>
  </si>
  <si>
    <t>Périodes</t>
  </si>
  <si>
    <t>Transactions/documents</t>
  </si>
  <si>
    <t>Périodique</t>
  </si>
  <si>
    <t>VAR-D3-02-01</t>
  </si>
  <si>
    <t>Mois actifs</t>
  </si>
  <si>
    <t>VAR-D3-02-02</t>
  </si>
  <si>
    <t>Interruptions</t>
  </si>
  <si>
    <t>Historique activité</t>
  </si>
  <si>
    <t>VAR-D3-03-01</t>
  </si>
  <si>
    <t>Principaux clients ou sources d’activité</t>
  </si>
  <si>
    <t>Liste/Ratio</t>
  </si>
  <si>
    <t>Ventes/contrats</t>
  </si>
  <si>
    <t>VAR-D3-04-01</t>
  </si>
  <si>
    <t>Variations importantes d’activité</t>
  </si>
  <si>
    <t>VAR-D4-01-01</t>
  </si>
  <si>
    <t>Incidents documentés liés aux engagements</t>
  </si>
  <si>
    <t>Documents/tiers</t>
  </si>
  <si>
    <t>VAR-D4-02-01</t>
  </si>
  <si>
    <t>Contrats disponibles</t>
  </si>
  <si>
    <t>Contrats</t>
  </si>
  <si>
    <t>Commandes</t>
  </si>
  <si>
    <t>VAR-D4-02-02</t>
  </si>
  <si>
    <t>Commandes disponibles</t>
  </si>
  <si>
    <t>Factures/contrats</t>
  </si>
  <si>
    <t>VAR-D4-03-01</t>
  </si>
  <si>
    <t>Litiges</t>
  </si>
  <si>
    <t>VAR-D4-03-02</t>
  </si>
  <si>
    <t>Statut de résolution des litiges</t>
  </si>
  <si>
    <t>Dossier incident</t>
  </si>
  <si>
    <t>Applicable si litige</t>
  </si>
  <si>
    <t>VAR-D4-04-01</t>
  </si>
  <si>
    <t>Catégorie/Texte</t>
  </si>
  <si>
    <t>Tiers autorisés</t>
  </si>
  <si>
    <t>Références documentées</t>
  </si>
  <si>
    <t>VAR-D5-01-01</t>
  </si>
  <si>
    <t>Chiffre d’affaires ou volume d’activité</t>
  </si>
  <si>
    <t>FCFA / unité</t>
  </si>
  <si>
    <t>Documents comptables/ventes</t>
  </si>
  <si>
    <t>Transactions corroborées</t>
  </si>
  <si>
    <t>VAR-D5-02-01</t>
  </si>
  <si>
    <t>Variation de l’activité dans le temps</t>
  </si>
  <si>
    <t>VAR-D5-03-01</t>
  </si>
  <si>
    <t>Part du chiffre d’affaires des principaux clients</t>
  </si>
  <si>
    <t>Ventes par client</t>
  </si>
  <si>
    <t>VAR-D5-04-01</t>
  </si>
  <si>
    <t>Interruptions significatives</t>
  </si>
  <si>
    <t>VAR-D5-04-02</t>
  </si>
  <si>
    <t>Dépendances critiques observables</t>
  </si>
  <si>
    <t>Liste/Catégorie</t>
  </si>
  <si>
    <t>Analyse activité</t>
  </si>
  <si>
    <t>Tiers/documents</t>
  </si>
  <si>
    <t>VAR-D6-01-01</t>
  </si>
  <si>
    <t>Entretien/observation</t>
  </si>
  <si>
    <t>Documents internes</t>
  </si>
  <si>
    <t>VAR-D6-02-01</t>
  </si>
  <si>
    <t>Documents de gestion administrative</t>
  </si>
  <si>
    <t>Observation</t>
  </si>
  <si>
    <t>VAR-D6-02-02</t>
  </si>
  <si>
    <t>Suivi administratif</t>
  </si>
  <si>
    <t>Documents/observation</t>
  </si>
  <si>
    <t>Entretien</t>
  </si>
  <si>
    <t>VAR-D6-03-01</t>
  </si>
  <si>
    <t>Organisation/entretien</t>
  </si>
  <si>
    <t>VAR-D6-04-01</t>
  </si>
  <si>
    <t>Outils de suivi utilisés</t>
  </si>
  <si>
    <t>04 — Paramètres de qualification des preuves</t>
  </si>
  <si>
    <t>Le niveau de preuve mesure la force du soutien de l’information, pas la qualité économique de l’entreprise.</t>
  </si>
  <si>
    <t>Niveau</t>
  </si>
  <si>
    <t>Libellé</t>
  </si>
  <si>
    <t>Définition opérationnelle</t>
  </si>
  <si>
    <t>Valeur IQP V1</t>
  </si>
  <si>
    <t>Règle clé</t>
  </si>
  <si>
    <t>Commentaire</t>
  </si>
  <si>
    <t>N1</t>
  </si>
  <si>
    <t>Déclarée</t>
  </si>
  <si>
    <t>Information déclarée sans corroboration externe suffisante</t>
  </si>
  <si>
    <t>Ne constitue pas automatiquement une preuve faible au sens économique</t>
  </si>
  <si>
    <t>Valeur utilisée pour l’IQP uniquement</t>
  </si>
  <si>
    <t>N2</t>
  </si>
  <si>
    <t>Corroborée</t>
  </si>
  <si>
    <t>Information soutenue par des éléments secondaires cohérents</t>
  </si>
  <si>
    <t>La corroboration doit être traçable</t>
  </si>
  <si>
    <t>N3</t>
  </si>
  <si>
    <t>Documentée</t>
  </si>
  <si>
    <t>Information soutenue par un document daté et exploitable</t>
  </si>
  <si>
    <t>Le document doit être relié à la variable</t>
  </si>
  <si>
    <t>N4</t>
  </si>
  <si>
    <t>Vérifiée</t>
  </si>
  <si>
    <t>Information confirmée selon une procédure TOLBO ou par un tiers indépendant</t>
  </si>
  <si>
    <t>N4 ne signifie pas garantie absolument exacte</t>
  </si>
  <si>
    <t>05 — Paramètres IQP</t>
  </si>
  <si>
    <t>L’IQP est un indice distinct du Score Pass. Pondérations V1 à tester pendant le pilote.</t>
  </si>
  <si>
    <t>Composante</t>
  </si>
  <si>
    <t>Entrée attendue</t>
  </si>
  <si>
    <t>Échelle</t>
  </si>
  <si>
    <t>E</t>
  </si>
  <si>
    <t>Étayage</t>
  </si>
  <si>
    <t>Agrégation des niveaux de preuve</t>
  </si>
  <si>
    <t>0–100</t>
  </si>
  <si>
    <t>C</t>
  </si>
  <si>
    <t>Couverture probatoire</t>
  </si>
  <si>
    <t>Part des informations applicables suffisamment étayées</t>
  </si>
  <si>
    <t>F</t>
  </si>
  <si>
    <t>Actualité des preuves/données</t>
  </si>
  <si>
    <t>Co</t>
  </si>
  <si>
    <t>Cohérence</t>
  </si>
  <si>
    <t>Cohérence interne et externe des informations</t>
  </si>
  <si>
    <t>T</t>
  </si>
  <si>
    <t>Provenance et historique des informations</t>
  </si>
  <si>
    <t>Calculateur IQP (exemple technique)</t>
  </si>
  <si>
    <t>Valeur /100</t>
  </si>
  <si>
    <t>Poids</t>
  </si>
  <si>
    <t>Contribution</t>
  </si>
  <si>
    <t>Couverture</t>
  </si>
  <si>
    <t>IQP calculé</t>
  </si>
  <si>
    <t>06 — Bibliothèque des règles de normalisation</t>
  </si>
  <si>
    <t>Chaque indicateur doit être rattaché à une règle versionnée. Les paramètres numériques restent à calibrer.</t>
  </si>
  <si>
    <t>Rule_ID</t>
  </si>
  <si>
    <t>Famille</t>
  </si>
  <si>
    <t>Sens</t>
  </si>
  <si>
    <t>Paramètre 1</t>
  </si>
  <si>
    <t>Paramètre 2</t>
  </si>
  <si>
    <t>Paramètre 3</t>
  </si>
  <si>
    <t>Formule/description</t>
  </si>
  <si>
    <t>Applicable aux indicateurs</t>
  </si>
  <si>
    <t>NORM-BIN-01</t>
  </si>
  <si>
    <t>Binaire</t>
  </si>
  <si>
    <t>Croissant</t>
  </si>
  <si>
    <t>Valeur défavorable</t>
  </si>
  <si>
    <t>Valeur favorable</t>
  </si>
  <si>
    <t>Association directe à des notes</t>
  </si>
  <si>
    <t>NORM-CAT-01</t>
  </si>
  <si>
    <t>Catégories ordonnées</t>
  </si>
  <si>
    <t>Liste catégories</t>
  </si>
  <si>
    <t>Notes associées</t>
  </si>
  <si>
    <t>Table de correspondance</t>
  </si>
  <si>
    <t>NORM-THR-01</t>
  </si>
  <si>
    <t>Seuils</t>
  </si>
  <si>
    <t>Selon indicateur</t>
  </si>
  <si>
    <t>Borne 1</t>
  </si>
  <si>
    <t>Borne 2</t>
  </si>
  <si>
    <t>Autres bornes</t>
  </si>
  <si>
    <t>Notes par zone</t>
  </si>
  <si>
    <t>NORM-LIN-UP</t>
  </si>
  <si>
    <t>Linéaire</t>
  </si>
  <si>
    <t>Minimum</t>
  </si>
  <si>
    <t>Maximum</t>
  </si>
  <si>
    <t>Interpolation 0–100</t>
  </si>
  <si>
    <t>NORM-LIN-DN</t>
  </si>
  <si>
    <t>Décroissant</t>
  </si>
  <si>
    <t>Interpolation 100–0</t>
  </si>
  <si>
    <t>NORM-OPT-01</t>
  </si>
  <si>
    <t>Zone optimale</t>
  </si>
  <si>
    <t>Borne basse</t>
  </si>
  <si>
    <t>Borne haute</t>
  </si>
  <si>
    <t>Pente hors zone</t>
  </si>
  <si>
    <t>100 dans la zone, décroissance hors zone</t>
  </si>
  <si>
    <t>NORM-CTX-01</t>
  </si>
  <si>
    <t>Contextuelle</t>
  </si>
  <si>
    <t>Selon segment</t>
  </si>
  <si>
    <t>Segment</t>
  </si>
  <si>
    <t>Paramètres segment</t>
  </si>
  <si>
    <t>Règle spécifique versionnée</t>
  </si>
  <si>
    <t>07 — Agrégation, pondération et couverture</t>
  </si>
  <si>
    <t>Feuille de référence technique avec démonstrateur. L’arrondi externe intervient uniquement en fin de calcul.</t>
  </si>
  <si>
    <t>Score /100</t>
  </si>
  <si>
    <t>Applicable ?</t>
  </si>
  <si>
    <t>Oui</t>
  </si>
  <si>
    <t>Évaluable</t>
  </si>
  <si>
    <t>Score Pass externe</t>
  </si>
  <si>
    <t>Règle</t>
  </si>
  <si>
    <t>Définition</t>
  </si>
  <si>
    <t>Traitement moteur</t>
  </si>
  <si>
    <t>Score agrégé</t>
  </si>
  <si>
    <t>Σ(wᵢ × Sᵢ), Σwᵢ=1</t>
  </si>
  <si>
    <t>Calcul décimal interne; arrondi final seulement</t>
  </si>
  <si>
    <t>Établie</t>
  </si>
  <si>
    <t>Non applicable</t>
  </si>
  <si>
    <t>Élément hors périmètre pertinent</t>
  </si>
  <si>
    <t>Exclure numérateur et dénominateur; renormaliser si autorisé</t>
  </si>
  <si>
    <t>Non évaluable</t>
  </si>
  <si>
    <t>Applicable mais information/preuve insuffisante</t>
  </si>
  <si>
    <t>Vérifier couverture et criticité avant agrégation</t>
  </si>
  <si>
    <t>Donnée manquante</t>
  </si>
  <si>
    <t>Information pertinente absente</t>
  </si>
  <si>
    <t>Ne jamais convertir automatiquement en 0</t>
  </si>
  <si>
    <t>Poids évalué / poids applicable</t>
  </si>
  <si>
    <t>Calcul global et par dimension</t>
  </si>
  <si>
    <t>Seuil de couverture</t>
  </si>
  <si>
    <t>Minimum requis pour score global</t>
  </si>
  <si>
    <t>08 — Statuts fonctionnels</t>
  </si>
  <si>
    <t>Nomenclature à utiliser dans la base, les règles métier et les interfaces.</t>
  </si>
  <si>
    <t>Code technique</t>
  </si>
  <si>
    <t>Libellé affiché</t>
  </si>
  <si>
    <t>Définition / effet</t>
  </si>
  <si>
    <t>Valeur automatique ?</t>
  </si>
  <si>
    <t>Disponibilité</t>
  </si>
  <si>
    <t>EVALUABLE</t>
  </si>
  <si>
    <t>Information suffisante pour appliquer la règle</t>
  </si>
  <si>
    <t>Non</t>
  </si>
  <si>
    <t>Actif</t>
  </si>
  <si>
    <t>NOT_APPLICABLE</t>
  </si>
  <si>
    <t>Élément non pertinent selon l’applicabilité</t>
  </si>
  <si>
    <t>NOT_EVALUABLE_MISSING</t>
  </si>
  <si>
    <t>Non évaluable — information manquante</t>
  </si>
  <si>
    <t>Applicable mais donnée absente</t>
  </si>
  <si>
    <t>NOT_EVALUABLE_EVIDENCE</t>
  </si>
  <si>
    <t>Non évaluable — preuve insuffisante</t>
  </si>
  <si>
    <t>Applicable mais niveau de preuve insuffisant</t>
  </si>
  <si>
    <t>COLD_START</t>
  </si>
  <si>
    <t>Historique insuffisant / cold start</t>
  </si>
  <si>
    <t>Historique insuffisant pour certaines mesures</t>
  </si>
  <si>
    <t>TEMP_UNAVAILABLE</t>
  </si>
  <si>
    <t>Temporairement indisponible</t>
  </si>
  <si>
    <t>Information indisponible temporairement</t>
  </si>
  <si>
    <t>REFUSED</t>
  </si>
  <si>
    <t>Refus de transmission</t>
  </si>
  <si>
    <t>Entreprise refuse une information</t>
  </si>
  <si>
    <t>UNDER_VERIFICATION</t>
  </si>
  <si>
    <t>Sous vérification</t>
  </si>
  <si>
    <t>Contrôle complémentaire en cours</t>
  </si>
  <si>
    <t>IN_PROGRESS</t>
  </si>
  <si>
    <t>Évaluation en cours</t>
  </si>
  <si>
    <t>Collecte/analyse non terminée</t>
  </si>
  <si>
    <t>VERIFICATION</t>
  </si>
  <si>
    <t>Contrôles complémentaires en cours</t>
  </si>
  <si>
    <t>SUSPENDED</t>
  </si>
  <si>
    <t>Évaluation suspendue</t>
  </si>
  <si>
    <t>Traitement interrompu temporairement</t>
  </si>
  <si>
    <t>PROFILE_BUILDING</t>
  </si>
  <si>
    <t>Profil en constitution</t>
  </si>
  <si>
    <t>Historique insuffisant pour certaines dimensions</t>
  </si>
  <si>
    <t>WITH_RESERVATION</t>
  </si>
  <si>
    <t>Évaluation avec réserve</t>
  </si>
  <si>
    <t>Score possible avec limitation documentée</t>
  </si>
  <si>
    <t>INCOMPLETE</t>
  </si>
  <si>
    <t>Évaluation incomplète</t>
  </si>
  <si>
    <t>Score global non produit</t>
  </si>
  <si>
    <t>SCORE_PRODUCED</t>
  </si>
  <si>
    <t>Score Pass produit</t>
  </si>
  <si>
    <t>Évaluation finalisée</t>
  </si>
  <si>
    <t>INTERRUPTED</t>
  </si>
  <si>
    <t>Évaluation interrompue</t>
  </si>
  <si>
    <t>Dossier clôturé sans finalisation</t>
  </si>
  <si>
    <t>09 — Matrice des conditions obligatoires de passage (hard gates)</t>
  </si>
  <si>
    <t>Les hard gates opèrent hors du mécanisme de compensation numérique.</t>
  </si>
  <si>
    <t>Condition V1</t>
  </si>
  <si>
    <t>Nature par défaut</t>
  </si>
  <si>
    <t>Remédiable ?</t>
  </si>
  <si>
    <t>Effet moteur</t>
  </si>
  <si>
    <t>Autorité minimale</t>
  </si>
  <si>
    <t>Preuves requises</t>
  </si>
  <si>
    <t>HG1</t>
  </si>
  <si>
    <t>Identité ou existence impossible à établir</t>
  </si>
  <si>
    <t>Suspensive / bloquante</t>
  </si>
  <si>
    <t>Oui selon cause</t>
  </si>
  <si>
    <t>Suspendre ou empêcher le Score Pass global</t>
  </si>
  <si>
    <t>Responsable Méthode</t>
  </si>
  <si>
    <t>Éléments du dossier + contrôles</t>
  </si>
  <si>
    <t>Faible formalisation ≠ identité impossible</t>
  </si>
  <si>
    <t>HG2</t>
  </si>
  <si>
    <t>Activité manifestement incompatible avec le périmètre légal ou méthodologique</t>
  </si>
  <si>
    <t>Bloquante</t>
  </si>
  <si>
    <t>Selon cause</t>
  </si>
  <si>
    <t>Interrompre l’évaluation normale</t>
  </si>
  <si>
    <t>Responsable Méthode / Comité si sensible</t>
  </si>
  <si>
    <t>Éléments établissant l’incompatibilité</t>
  </si>
  <si>
    <t>HG3</t>
  </si>
  <si>
    <t>Falsification ou manipulation substantielle établie</t>
  </si>
  <si>
    <t>Selon décision</t>
  </si>
  <si>
    <t>Bloquer / escalader</t>
  </si>
  <si>
    <t>Responsable Méthode + Comité si sensible</t>
  </si>
  <si>
    <t>Vérifications documentées</t>
  </si>
  <si>
    <t>Incohérence ≠ falsification</t>
  </si>
  <si>
    <t>HG4</t>
  </si>
  <si>
    <t>Refus d’une information critique indispensable</t>
  </si>
  <si>
    <t>Suspendre ou bloquer selon criticité</t>
  </si>
  <si>
    <t>Trace du refus + criticité de la variable</t>
  </si>
  <si>
    <t>10 — Anomalies, escalades et exceptions</t>
  </si>
  <si>
    <t>Référentiel minimal pour les workflows de contrôle et de gouvernance.</t>
  </si>
  <si>
    <t>Effet par défaut</t>
  </si>
  <si>
    <t>Escalade</t>
  </si>
  <si>
    <t>A1</t>
  </si>
  <si>
    <t>Mineure</t>
  </si>
  <si>
    <t>Écart de faible criticité</t>
  </si>
  <si>
    <t>Documenter et traiter dans le flux normal</t>
  </si>
  <si>
    <t>Non, sauf récurrence</t>
  </si>
  <si>
    <t>A2</t>
  </si>
  <si>
    <t>Significative</t>
  </si>
  <si>
    <t>Écart pouvant affecter l’évaluation</t>
  </si>
  <si>
    <t>Vérification complémentaire</t>
  </si>
  <si>
    <t>Selon impact</t>
  </si>
  <si>
    <t>A3</t>
  </si>
  <si>
    <t>Écart susceptible d’invalider ou suspendre l’évaluation</t>
  </si>
  <si>
    <t>Escalade et décision formelle</t>
  </si>
  <si>
    <t>FLOW</t>
  </si>
  <si>
    <t>Workflow</t>
  </si>
  <si>
    <t>Détection → Enregistrement → Qualification → Analyse d’impact → Vérification → Décision → Clôture / réserve / escalade</t>
  </si>
  <si>
    <t>Objet</t>
  </si>
  <si>
    <t>Règle standard</t>
  </si>
  <si>
    <t>Autorisation</t>
  </si>
  <si>
    <t>Peut modifier un score ?</t>
  </si>
  <si>
    <t>Peut modifier un paramètre global ?</t>
  </si>
  <si>
    <t>Historique</t>
  </si>
  <si>
    <t>Renforcement du niveau de contrôle</t>
  </si>
  <si>
    <t>Selon RACI</t>
  </si>
  <si>
    <t>Obligatoire</t>
  </si>
  <si>
    <t>Indirectement après vérification</t>
  </si>
  <si>
    <t>Exception méthodologique</t>
  </si>
  <si>
    <t>Traitement atypique documenté</t>
  </si>
  <si>
    <t>Responsable Méthode / Comité selon criticité</t>
  </si>
  <si>
    <t>Oui si règle approuvée</t>
  </si>
  <si>
    <t>Correction</t>
  </si>
  <si>
    <t>Réparation d’une erreur sur une évaluation</t>
  </si>
  <si>
    <t>Selon workflow</t>
  </si>
  <si>
    <t>Oui avec recalcul</t>
  </si>
  <si>
    <t>Score initial conservé</t>
  </si>
  <si>
    <t>Modification du modèle</t>
  </si>
  <si>
    <t>Évolution générale des règles</t>
  </si>
  <si>
    <t>Comité compétent</t>
  </si>
  <si>
    <t>Obligatoire + versionnage</t>
  </si>
  <si>
    <t>Sur les nouvelles évaluations</t>
  </si>
  <si>
    <t>Anciennes versions conservées</t>
  </si>
  <si>
    <t>11 — Fraîcheur des données et évaluations</t>
  </si>
  <si>
    <t>Les durées définitives doivent être calibrées par type de donnée et usage.</t>
  </si>
  <si>
    <t>Durée par défaut</t>
  </si>
  <si>
    <t>Déclencheur événementiel</t>
  </si>
  <si>
    <t>CURRENT</t>
  </si>
  <si>
    <t>À jour</t>
  </si>
  <si>
    <t>Informations suffisamment récentes selon la règle active</t>
  </si>
  <si>
    <t>Jours/Mois</t>
  </si>
  <si>
    <t>REFRESH</t>
  </si>
  <si>
    <t>À actualiser</t>
  </si>
  <si>
    <t>Certaines informations doivent être mises à jour</t>
  </si>
  <si>
    <t>EXPIRED</t>
  </si>
  <si>
    <t>Expiré</t>
  </si>
  <si>
    <t>Évaluation ne devant plus être présentée comme actuelle</t>
  </si>
  <si>
    <t>Événement déclencheur</t>
  </si>
  <si>
    <t>Action minimale</t>
  </si>
  <si>
    <t>Automatisable ?</t>
  </si>
  <si>
    <t>Changement de dirigeant ou contrôle</t>
  </si>
  <si>
    <t>Marquer à réexaminer</t>
  </si>
  <si>
    <t>Oui si événement connu</t>
  </si>
  <si>
    <t>Changement significatif d’activité</t>
  </si>
  <si>
    <t>Partiel</t>
  </si>
  <si>
    <t>Changement de localisation</t>
  </si>
  <si>
    <t>Actualiser identité/localisation</t>
  </si>
  <si>
    <t>Oui si donnée structurée</t>
  </si>
  <si>
    <t>Interruption significative</t>
  </si>
  <si>
    <t>Réévaluer D3/D5</t>
  </si>
  <si>
    <t>Variation majeure d’activité</t>
  </si>
  <si>
    <t>Réévaluer indicateurs concernés</t>
  </si>
  <si>
    <t>Perte d’un client majeur</t>
  </si>
  <si>
    <t>Réévaluer concentration/résilience</t>
  </si>
  <si>
    <t>Incident majeur d’exécution</t>
  </si>
  <si>
    <t>Réévaluer D4/D5</t>
  </si>
  <si>
    <t>Nouvelle anomalie critique</t>
  </si>
  <si>
    <t>Passer sous vérification</t>
  </si>
  <si>
    <t>12 — Versionnage des paramètres méthodologiques</t>
  </si>
  <si>
    <t>Toute évaluation officielle doit être reproductible avec la version qui l’a produite.</t>
  </si>
  <si>
    <t>Date approbation</t>
  </si>
  <si>
    <t>Date effet</t>
  </si>
  <si>
    <t>État</t>
  </si>
  <si>
    <t>Description</t>
  </si>
  <si>
    <t>Rétroactivité</t>
  </si>
  <si>
    <t>Autorité</t>
  </si>
  <si>
    <t>Baseline</t>
  </si>
  <si>
    <t>Pré-pilote</t>
  </si>
  <si>
    <t>Première version opérationnelle du paramétrage</t>
  </si>
  <si>
    <t>À définir</t>
  </si>
  <si>
    <t>V1.1</t>
  </si>
  <si>
    <t>Future</t>
  </si>
  <si>
    <t>V2.0</t>
  </si>
  <si>
    <t>Majeure</t>
  </si>
  <si>
    <t>Classe modification</t>
  </si>
  <si>
    <t>Exemple</t>
  </si>
  <si>
    <t>Version moteur requise ?</t>
  </si>
  <si>
    <t>Test impact</t>
  </si>
  <si>
    <t>Approbation</t>
  </si>
  <si>
    <t>M1 — Mineure</t>
  </si>
  <si>
    <t>Correction sans effet méthodologique sur le résultat</t>
  </si>
  <si>
    <t>Typographie / clarification</t>
  </si>
  <si>
    <t>Pas nécessairement</t>
  </si>
  <si>
    <t>Non ou limité</t>
  </si>
  <si>
    <t>M2 — Intermédiaire</t>
  </si>
  <si>
    <t>Effet limité/localisé</t>
  </si>
  <si>
    <t>Ajustement règle d’indicateur</t>
  </si>
  <si>
    <t>Responsable Méthode + validation prévue</t>
  </si>
  <si>
    <t>M3 — Majeure</t>
  </si>
  <si>
    <t>Effet significatif sur score/interprétation</t>
  </si>
  <si>
    <t>Poids, dimension, hard gate, architecture</t>
  </si>
  <si>
    <t>Oui, version majeure selon cas</t>
  </si>
  <si>
    <t>Éditoriale</t>
  </si>
  <si>
    <t>Aucun effet sur règles/calcul</t>
  </si>
  <si>
    <t>Correction rédactionnelle</t>
  </si>
  <si>
    <t>Selon maîtrise documentaire</t>
  </si>
  <si>
    <t>13 — Registre des paramètres à calibrer / finaliser</t>
  </si>
  <si>
    <t>Liste de contrôle avant passage en production. L’ingénieur ne doit pas définir ces valeurs de sa propre initiative.</t>
  </si>
  <si>
    <t>ID</t>
  </si>
  <si>
    <t>Paramètre</t>
  </si>
  <si>
    <t>Décision attendue</t>
  </si>
  <si>
    <t>Source de calibration</t>
  </si>
  <si>
    <t>Blocage production ?</t>
  </si>
  <si>
    <t>CAL-001</t>
  </si>
  <si>
    <t>Liste exhaustive et codification définitive des variables</t>
  </si>
  <si>
    <t>Variable</t>
  </si>
  <si>
    <t>Valider dictionnaire complet</t>
  </si>
  <si>
    <t>Pilote + revue méthodologique</t>
  </si>
  <si>
    <t>À finaliser</t>
  </si>
  <si>
    <t>CAL-002</t>
  </si>
  <si>
    <t>Formules détaillées des 24 indicateurs</t>
  </si>
  <si>
    <t>Formaliser chaque calcul</t>
  </si>
  <si>
    <t>Manuel + pilote</t>
  </si>
  <si>
    <t>CAL-003</t>
  </si>
  <si>
    <t>Seuils de normalisation par indicateur</t>
  </si>
  <si>
    <t>Fixer bornes/fonctions</t>
  </si>
  <si>
    <t>Distributions pilote</t>
  </si>
  <si>
    <t>CAL-004</t>
  </si>
  <si>
    <t>Poids internes indicateurs / sous-dimensions</t>
  </si>
  <si>
    <t>Agrégation</t>
  </si>
  <si>
    <t>Fixer pondérations</t>
  </si>
  <si>
    <t>Sensibilité + pilote</t>
  </si>
  <si>
    <t>CAL-005</t>
  </si>
  <si>
    <t>Seuil minimal de couverture</t>
  </si>
  <si>
    <t>Global / dimension</t>
  </si>
  <si>
    <t>Fixer seuil(s)</t>
  </si>
  <si>
    <t>Pilote</t>
  </si>
  <si>
    <t>CAL-006</t>
  </si>
  <si>
    <t>Niveaux minimaux de preuve par variable critique</t>
  </si>
  <si>
    <t>Preuve</t>
  </si>
  <si>
    <t>Fixer exigences</t>
  </si>
  <si>
    <t>Pilote + usages partenaires</t>
  </si>
  <si>
    <t>CAL-007</t>
  </si>
  <si>
    <t>Bornes des classes d’interprétation</t>
  </si>
  <si>
    <t>Restitution</t>
  </si>
  <si>
    <t>Fixer ou confirmer absence de classes</t>
  </si>
  <si>
    <t>Distribution + compréhension partenaire</t>
  </si>
  <si>
    <t>Non pour pilote</t>
  </si>
  <si>
    <t>CAL-008</t>
  </si>
  <si>
    <t>Durées de fraîcheur</t>
  </si>
  <si>
    <t>Donnée / évaluation</t>
  </si>
  <si>
    <t>Fixer règles temporelles</t>
  </si>
  <si>
    <t>Pilote + partenaires</t>
  </si>
  <si>
    <t>CAL-009</t>
  </si>
  <si>
    <t>Règles sectorielles spécifiques</t>
  </si>
  <si>
    <t>Segmentation</t>
  </si>
  <si>
    <t>Définir si nécessaires</t>
  </si>
  <si>
    <t>Pilote multi-secteurs</t>
  </si>
  <si>
    <t>Selon usage</t>
  </si>
  <si>
    <t>À tester</t>
  </si>
  <si>
    <t>CAL-010</t>
  </si>
  <si>
    <t>Délais de traitement contestation</t>
  </si>
  <si>
    <t>Gouvernance</t>
  </si>
  <si>
    <t>Fixer SLA opérationnel</t>
  </si>
  <si>
    <t>Organisation TOLBO</t>
  </si>
  <si>
    <t>Non moteur calcul</t>
  </si>
  <si>
    <t>14 — Paramètres globaux du moteur</t>
  </si>
  <si>
    <t>Clés de configuration de haut niveau. Les valeurs marquées à calibrer doivent être externes au code.</t>
  </si>
  <si>
    <t>Param_Key</t>
  </si>
  <si>
    <t>Valeur V1</t>
  </si>
  <si>
    <t>score.scale.min</t>
  </si>
  <si>
    <t>Minimum Score Pass</t>
  </si>
  <si>
    <t>Integer</t>
  </si>
  <si>
    <t>Établi</t>
  </si>
  <si>
    <t>score.scale.max</t>
  </si>
  <si>
    <t>Maximum Score Pass</t>
  </si>
  <si>
    <t>score.output.format</t>
  </si>
  <si>
    <t>Format externe</t>
  </si>
  <si>
    <t>X/100</t>
  </si>
  <si>
    <t>String</t>
  </si>
  <si>
    <t>score.rounding.stage</t>
  </si>
  <si>
    <t>Moment de l’arrondi</t>
  </si>
  <si>
    <t>Final uniquement</t>
  </si>
  <si>
    <t>Enum</t>
  </si>
  <si>
    <t>iqp.scale.min</t>
  </si>
  <si>
    <t>Minimum IQP</t>
  </si>
  <si>
    <t>iqp.scale.max</t>
  </si>
  <si>
    <t>Maximum IQP</t>
  </si>
  <si>
    <t>coverage.threshold.global</t>
  </si>
  <si>
    <t>Seuil couverture global minimum</t>
  </si>
  <si>
    <t>Decimal</t>
  </si>
  <si>
    <t>coverage.threshold.dimension</t>
  </si>
  <si>
    <t>Seuil couverture par dimension</t>
  </si>
  <si>
    <t>missing.as_zero</t>
  </si>
  <si>
    <t>Convertir donnée manquante en zéro</t>
  </si>
  <si>
    <t>Boolean</t>
  </si>
  <si>
    <t>na.renormalize</t>
  </si>
  <si>
    <t>Autoriser renormalisation des poids pour NA</t>
  </si>
  <si>
    <t>non_evaluable.renormalize</t>
  </si>
  <si>
    <t>Renormaliser automatiquement le non-évaluable</t>
  </si>
  <si>
    <t>hard_gate.blocks_compensation</t>
  </si>
  <si>
    <t>Hard gates hors compensation</t>
  </si>
  <si>
    <t>historical_scores.retroactive</t>
  </si>
  <si>
    <t>Modifier scores historiques avec nouvelle version</t>
  </si>
  <si>
    <t>test_rules.affect_production</t>
  </si>
  <si>
    <t>Règles expérimentales affectent scores officiels</t>
  </si>
  <si>
    <t>partner.auto_decision</t>
  </si>
  <si>
    <t>Produire décision automatique financement/investissement</t>
  </si>
  <si>
    <t>15 — Schéma minimal des sorties Score Pass</t>
  </si>
  <si>
    <t>Champs obligatoires de la restitution et de l’échange technique.</t>
  </si>
  <si>
    <t>Field_Key</t>
  </si>
  <si>
    <t>Condition</t>
  </si>
  <si>
    <t>enterprise_id</t>
  </si>
  <si>
    <t>Identifiant entreprise</t>
  </si>
  <si>
    <t>Toujours</t>
  </si>
  <si>
    <t>ENT-00001</t>
  </si>
  <si>
    <t>evaluation_id</t>
  </si>
  <si>
    <t>Identifiant évaluation</t>
  </si>
  <si>
    <t>SP-2026-00001</t>
  </si>
  <si>
    <t>Unique par évaluation</t>
  </si>
  <si>
    <t>model_version</t>
  </si>
  <si>
    <t>Version méthodologique</t>
  </si>
  <si>
    <t>evaluation_date</t>
  </si>
  <si>
    <t>Date d’évaluation</t>
  </si>
  <si>
    <t>2026-08-31</t>
  </si>
  <si>
    <t>observation_period</t>
  </si>
  <si>
    <t>Période observée</t>
  </si>
  <si>
    <t>String/DateRange</t>
  </si>
  <si>
    <t>2026-01 à 2026-06</t>
  </si>
  <si>
    <t>dossier_status</t>
  </si>
  <si>
    <t>Statut dossier</t>
  </si>
  <si>
    <t>score_pass</t>
  </si>
  <si>
    <t>Score Pass</t>
  </si>
  <si>
    <t>Decimal/Integer</t>
  </si>
  <si>
    <t>Conditionnel</t>
  </si>
  <si>
    <t>Si score global produit</t>
  </si>
  <si>
    <t>74</t>
  </si>
  <si>
    <t>Restitution : 74/100</t>
  </si>
  <si>
    <t>dimension_scores</t>
  </si>
  <si>
    <t>Scores D1–D6</t>
  </si>
  <si>
    <t>Object/List</t>
  </si>
  <si>
    <t>Oui si évaluables</t>
  </si>
  <si>
    <t>Selon applicabilité</t>
  </si>
  <si>
    <t>D1=90…</t>
  </si>
  <si>
    <t>iqp</t>
  </si>
  <si>
    <t>Indice de Qualité des Preuves</t>
  </si>
  <si>
    <t>Si évaluation</t>
  </si>
  <si>
    <t>78</t>
  </si>
  <si>
    <t>Distinct du Score Pass</t>
  </si>
  <si>
    <t>coverage</t>
  </si>
  <si>
    <t>Couverture méthodologique</t>
  </si>
  <si>
    <t>0.92</t>
  </si>
  <si>
    <t>freshness_status</t>
  </si>
  <si>
    <t>Statut fraîcheur</t>
  </si>
  <si>
    <t>limitations</t>
  </si>
  <si>
    <t>Réserves / limites</t>
  </si>
  <si>
    <t>Text/List</t>
  </si>
  <si>
    <t>Peut être vide si aucune</t>
  </si>
  <si>
    <t>—</t>
  </si>
  <si>
    <t>mandatory_notice</t>
  </si>
  <si>
    <t>Mention méthodologique</t>
  </si>
  <si>
    <t>Restitution externe</t>
  </si>
  <si>
    <t>Texte standard</t>
  </si>
  <si>
    <t>Ne pas supprimer</t>
  </si>
  <si>
    <t>GULGO — Paramétrage du moteur Score Pass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</si>
</sst>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&quot;/100&quot;"/>
  </numFmts>
  <fonts count="6">
    <font>
      <sz val="11"/>
      <name val="Carlito"/>
    </font>
    <font>
      <b/>
      <sz val="9"/>
      <color rgb="FFFFFFFF"/>
      <name val="Aptos"/>
    </font>
    <font>
      <sz val="9"/>
      <name val="Aptos"/>
    </font>
    <font>
      <i/>
      <sz val="9"/>
      <color rgb="FF667085"/>
      <name val="Aptos"/>
    </font>
    <font>
      <b/>
      <sz val="16"/>
      <color rgb="FFFFFFFF"/>
      <name val="Aptos Display"/>
    </font>
    <font>
      <i/>
      <sz val="10"/>
      <color rgb="FF667085"/>
      <name val="Aptos"/>
    </font>
  </fonts>
  <fills count="6">
    <fill>
      <patternFill patternType="none"/>
    </fill>
    <fill>
      <patternFill patternType="gray125"/>
    </fill>
    <fill>
      <patternFill patternType="solid">
        <fgColor rgb="FF0D2B66"/>
      </patternFill>
    </fill>
    <fill>
      <patternFill patternType="solid">
        <fgColor rgb="FFF3F6FA"/>
      </patternFill>
    </fill>
    <fill>
      <patternFill patternType="solid">
        <fgColor rgb="FF061A3A"/>
      </patternFill>
    </fill>
    <fill>
      <patternFill patternType="solid">
        <fgColor rgb="FFF794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NumberFormat="1" applyFont="1" applyFill="1" applyBorder="1"/>
    <xf numFmtId="0" fontId="1" fillId="4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9" fontId="2" fillId="0" borderId="0" xfId="0" applyNumberFormat="1" applyFont="1" applyFill="1" applyBorder="1" applyAlignment="1">
      <alignment vertical="top" wrapText="1"/>
    </xf>
    <xf numFmtId="1" fontId="2" fillId="0" borderId="0" xfId="0" applyNumberFormat="1" applyFont="1" applyFill="1" applyBorder="1" applyAlignment="1">
      <alignment vertical="top" wrapText="1"/>
    </xf>
    <xf numFmtId="165" fontId="2" fillId="0" borderId="0" xfId="0" applyNumberFormat="1" applyFont="1" applyFill="1" applyBorder="1" applyAlignment="1">
      <alignment vertical="top" wrapText="1"/>
    </xf>
    <xf numFmtId="2" fontId="2" fillId="0" borderId="0" xfId="0" applyNumberFormat="1" applyFont="1" applyFill="1" applyBorder="1" applyAlignment="1">
      <alignment vertical="top" wrapText="1"/>
    </xf>
    <xf numFmtId="166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5" fillId="3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4fb27e2ffcd94d8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baseColWidth="10" defaultColWidth="8.88671875" defaultRowHeight="14.4"/>
  <cols>
    <col min="1" max="1" width="28" customWidth="1"/>
    <col min="2" max="2" width="78" customWidth="1"/>
  </cols>
  <sheetData>
    <row r="1" spans="1:26" ht="22.35" customHeight="1">
      <c r="A1" s="11" t="s">
        <v>780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0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1</v>
      </c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 t="s">
        <v>3</v>
      </c>
      <c r="B5" s="3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5</v>
      </c>
      <c r="B6" s="3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</v>
      </c>
      <c r="B7" s="3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>
      <c r="A8" s="3" t="s">
        <v>9</v>
      </c>
      <c r="B8" s="3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8">
      <c r="A9" s="3" t="s">
        <v>11</v>
      </c>
      <c r="B9" s="3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8">
      <c r="A10" s="3" t="s">
        <v>13</v>
      </c>
      <c r="B10" s="3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15</v>
      </c>
      <c r="B11" s="3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17</v>
      </c>
      <c r="B12" s="3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19</v>
      </c>
      <c r="B13" s="4">
        <v>46265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baseColWidth="10" defaultColWidth="8.88671875" defaultRowHeight="14.4"/>
  <cols>
    <col min="1" max="1" width="12" customWidth="1"/>
    <col min="2" max="2" width="32" customWidth="1"/>
    <col min="3" max="3" width="58" customWidth="1"/>
    <col min="4" max="6" width="14" customWidth="1"/>
  </cols>
  <sheetData>
    <row r="1" spans="1:26" ht="22.35" customHeight="1">
      <c r="A1" s="11" t="s">
        <v>20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21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28</v>
      </c>
      <c r="B5" s="3" t="s">
        <v>29</v>
      </c>
      <c r="C5" s="3" t="s">
        <v>30</v>
      </c>
      <c r="D5" s="5">
        <v>0.15</v>
      </c>
      <c r="E5" s="3" t="s">
        <v>31</v>
      </c>
      <c r="F5" s="3" t="s">
        <v>32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33</v>
      </c>
      <c r="B6" s="3" t="s">
        <v>34</v>
      </c>
      <c r="C6" s="3" t="s">
        <v>35</v>
      </c>
      <c r="D6" s="5">
        <v>0.2</v>
      </c>
      <c r="E6" s="3" t="s">
        <v>31</v>
      </c>
      <c r="F6" s="3" t="s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36</v>
      </c>
      <c r="B7" s="3" t="s">
        <v>37</v>
      </c>
      <c r="C7" s="3" t="s">
        <v>38</v>
      </c>
      <c r="D7" s="5">
        <v>0.2</v>
      </c>
      <c r="E7" s="3" t="s">
        <v>31</v>
      </c>
      <c r="F7" s="3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>
      <c r="A8" s="3" t="s">
        <v>39</v>
      </c>
      <c r="B8" s="3" t="s">
        <v>40</v>
      </c>
      <c r="C8" s="3" t="s">
        <v>41</v>
      </c>
      <c r="D8" s="5">
        <v>0.2</v>
      </c>
      <c r="E8" s="3" t="s">
        <v>31</v>
      </c>
      <c r="F8" s="3" t="s">
        <v>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8">
      <c r="A9" s="3" t="s">
        <v>42</v>
      </c>
      <c r="B9" s="3" t="s">
        <v>43</v>
      </c>
      <c r="C9" s="3" t="s">
        <v>44</v>
      </c>
      <c r="D9" s="5">
        <v>0.15</v>
      </c>
      <c r="E9" s="3" t="s">
        <v>31</v>
      </c>
      <c r="F9" s="3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8">
      <c r="A10" s="3" t="s">
        <v>45</v>
      </c>
      <c r="B10" s="3" t="s">
        <v>46</v>
      </c>
      <c r="C10" s="3" t="s">
        <v>47</v>
      </c>
      <c r="D10" s="5">
        <v>0.1</v>
      </c>
      <c r="E10" s="3" t="s">
        <v>31</v>
      </c>
      <c r="F10" s="3" t="s">
        <v>32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48</v>
      </c>
      <c r="B11" s="3"/>
      <c r="C11" s="3"/>
      <c r="D11" s="5">
        <f>SUM(D5:D10)</f>
        <v>1</v>
      </c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F1"/>
    <mergeCell ref="A2:F2"/>
  </mergeCells>
  <dataValidations count="1">
    <dataValidation type="list" sqref="E5:E10" xr:uid="{00000000-0002-0000-0100-000000000000}">
      <formula1>"Actif,À calibrer,Suspendu,Retiré"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baseColWidth="10" defaultColWidth="8.88671875" defaultRowHeight="14.4"/>
  <cols>
    <col min="1" max="1" width="12" customWidth="1"/>
    <col min="2" max="2" width="10" customWidth="1"/>
    <col min="3" max="3" width="32" customWidth="1"/>
    <col min="4" max="4" width="46" customWidth="1"/>
    <col min="5" max="5" width="15" customWidth="1"/>
    <col min="6" max="6" width="22" customWidth="1"/>
    <col min="7" max="7" width="18" customWidth="1"/>
    <col min="8" max="11" width="14" customWidth="1"/>
    <col min="12" max="12" width="10" customWidth="1"/>
    <col min="13" max="13" width="44" customWidth="1"/>
  </cols>
  <sheetData>
    <row r="1" spans="1:26" ht="22.35" customHeight="1">
      <c r="A1" s="11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50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23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27</v>
      </c>
      <c r="M4" s="2" t="s">
        <v>60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 t="s">
        <v>61</v>
      </c>
      <c r="B5" s="3" t="s">
        <v>28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/>
      <c r="I5" s="3" t="s">
        <v>31</v>
      </c>
      <c r="J5" s="3" t="s">
        <v>67</v>
      </c>
      <c r="K5" s="3" t="s">
        <v>31</v>
      </c>
      <c r="L5" s="3" t="s">
        <v>32</v>
      </c>
      <c r="M5" s="3" t="s">
        <v>68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69</v>
      </c>
      <c r="B6" s="3" t="s">
        <v>28</v>
      </c>
      <c r="C6" s="3" t="s">
        <v>70</v>
      </c>
      <c r="D6" s="3" t="s">
        <v>71</v>
      </c>
      <c r="E6" s="3" t="s">
        <v>64</v>
      </c>
      <c r="F6" s="3" t="s">
        <v>65</v>
      </c>
      <c r="G6" s="3" t="s">
        <v>66</v>
      </c>
      <c r="H6" s="3"/>
      <c r="I6" s="3" t="s">
        <v>31</v>
      </c>
      <c r="J6" s="3" t="s">
        <v>72</v>
      </c>
      <c r="K6" s="3" t="s">
        <v>31</v>
      </c>
      <c r="L6" s="3" t="s">
        <v>32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73</v>
      </c>
      <c r="B7" s="3" t="s">
        <v>28</v>
      </c>
      <c r="C7" s="3" t="s">
        <v>74</v>
      </c>
      <c r="D7" s="3" t="s">
        <v>75</v>
      </c>
      <c r="E7" s="3" t="s">
        <v>76</v>
      </c>
      <c r="F7" s="3" t="s">
        <v>65</v>
      </c>
      <c r="G7" s="3" t="s">
        <v>66</v>
      </c>
      <c r="H7" s="3"/>
      <c r="I7" s="3" t="s">
        <v>31</v>
      </c>
      <c r="J7" s="3" t="s">
        <v>72</v>
      </c>
      <c r="K7" s="3" t="s">
        <v>31</v>
      </c>
      <c r="L7" s="3" t="s">
        <v>32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77</v>
      </c>
      <c r="B8" s="3" t="s">
        <v>28</v>
      </c>
      <c r="C8" s="3" t="s">
        <v>78</v>
      </c>
      <c r="D8" s="3" t="s">
        <v>79</v>
      </c>
      <c r="E8" s="3" t="s">
        <v>80</v>
      </c>
      <c r="F8" s="3" t="s">
        <v>65</v>
      </c>
      <c r="G8" s="3" t="s">
        <v>66</v>
      </c>
      <c r="H8" s="3"/>
      <c r="I8" s="3" t="s">
        <v>31</v>
      </c>
      <c r="J8" s="3" t="s">
        <v>81</v>
      </c>
      <c r="K8" s="3" t="s">
        <v>31</v>
      </c>
      <c r="L8" s="3" t="s">
        <v>32</v>
      </c>
      <c r="M8" s="3" t="s">
        <v>82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83</v>
      </c>
      <c r="B9" s="3" t="s">
        <v>33</v>
      </c>
      <c r="C9" s="3" t="s">
        <v>84</v>
      </c>
      <c r="D9" s="3" t="s">
        <v>85</v>
      </c>
      <c r="E9" s="3" t="s">
        <v>80</v>
      </c>
      <c r="F9" s="3" t="s">
        <v>65</v>
      </c>
      <c r="G9" s="3" t="s">
        <v>66</v>
      </c>
      <c r="H9" s="3"/>
      <c r="I9" s="3" t="s">
        <v>31</v>
      </c>
      <c r="J9" s="3" t="s">
        <v>72</v>
      </c>
      <c r="K9" s="3" t="s">
        <v>31</v>
      </c>
      <c r="L9" s="3" t="s">
        <v>32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86</v>
      </c>
      <c r="B10" s="3" t="s">
        <v>33</v>
      </c>
      <c r="C10" s="3" t="s">
        <v>87</v>
      </c>
      <c r="D10" s="3" t="s">
        <v>88</v>
      </c>
      <c r="E10" s="3" t="s">
        <v>76</v>
      </c>
      <c r="F10" s="3" t="s">
        <v>65</v>
      </c>
      <c r="G10" s="3" t="s">
        <v>66</v>
      </c>
      <c r="H10" s="3"/>
      <c r="I10" s="3" t="s">
        <v>31</v>
      </c>
      <c r="J10" s="3" t="s">
        <v>72</v>
      </c>
      <c r="K10" s="3" t="s">
        <v>31</v>
      </c>
      <c r="L10" s="3" t="s">
        <v>32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89</v>
      </c>
      <c r="B11" s="3" t="s">
        <v>33</v>
      </c>
      <c r="C11" s="3" t="s">
        <v>90</v>
      </c>
      <c r="D11" s="3" t="s">
        <v>91</v>
      </c>
      <c r="E11" s="3" t="s">
        <v>76</v>
      </c>
      <c r="F11" s="3" t="s">
        <v>65</v>
      </c>
      <c r="G11" s="3" t="s">
        <v>66</v>
      </c>
      <c r="H11" s="3"/>
      <c r="I11" s="3" t="s">
        <v>31</v>
      </c>
      <c r="J11" s="3" t="s">
        <v>72</v>
      </c>
      <c r="K11" s="3" t="s">
        <v>31</v>
      </c>
      <c r="L11" s="3" t="s">
        <v>32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92</v>
      </c>
      <c r="B12" s="3" t="s">
        <v>33</v>
      </c>
      <c r="C12" s="3" t="s">
        <v>93</v>
      </c>
      <c r="D12" s="3" t="s">
        <v>94</v>
      </c>
      <c r="E12" s="3" t="s">
        <v>80</v>
      </c>
      <c r="F12" s="3" t="s">
        <v>65</v>
      </c>
      <c r="G12" s="3" t="s">
        <v>66</v>
      </c>
      <c r="H12" s="3"/>
      <c r="I12" s="3" t="s">
        <v>31</v>
      </c>
      <c r="J12" s="3" t="s">
        <v>81</v>
      </c>
      <c r="K12" s="3" t="s">
        <v>31</v>
      </c>
      <c r="L12" s="3" t="s">
        <v>32</v>
      </c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95</v>
      </c>
      <c r="B13" s="3" t="s">
        <v>36</v>
      </c>
      <c r="C13" s="3" t="s">
        <v>96</v>
      </c>
      <c r="D13" s="3" t="s">
        <v>97</v>
      </c>
      <c r="E13" s="3" t="s">
        <v>80</v>
      </c>
      <c r="F13" s="3" t="s">
        <v>65</v>
      </c>
      <c r="G13" s="3" t="s">
        <v>66</v>
      </c>
      <c r="H13" s="3"/>
      <c r="I13" s="3" t="s">
        <v>31</v>
      </c>
      <c r="J13" s="3" t="s">
        <v>72</v>
      </c>
      <c r="K13" s="3" t="s">
        <v>31</v>
      </c>
      <c r="L13" s="3" t="s">
        <v>32</v>
      </c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98</v>
      </c>
      <c r="B14" s="3" t="s">
        <v>36</v>
      </c>
      <c r="C14" s="3" t="s">
        <v>99</v>
      </c>
      <c r="D14" s="3" t="s">
        <v>100</v>
      </c>
      <c r="E14" s="3" t="s">
        <v>80</v>
      </c>
      <c r="F14" s="3" t="s">
        <v>65</v>
      </c>
      <c r="G14" s="3" t="s">
        <v>66</v>
      </c>
      <c r="H14" s="3"/>
      <c r="I14" s="3" t="s">
        <v>31</v>
      </c>
      <c r="J14" s="3" t="s">
        <v>72</v>
      </c>
      <c r="K14" s="3" t="s">
        <v>31</v>
      </c>
      <c r="L14" s="3" t="s">
        <v>32</v>
      </c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101</v>
      </c>
      <c r="B15" s="3" t="s">
        <v>36</v>
      </c>
      <c r="C15" s="3" t="s">
        <v>102</v>
      </c>
      <c r="D15" s="3" t="s">
        <v>103</v>
      </c>
      <c r="E15" s="3" t="s">
        <v>80</v>
      </c>
      <c r="F15" s="3" t="s">
        <v>65</v>
      </c>
      <c r="G15" s="3" t="s">
        <v>66</v>
      </c>
      <c r="H15" s="3"/>
      <c r="I15" s="3" t="s">
        <v>31</v>
      </c>
      <c r="J15" s="3" t="s">
        <v>72</v>
      </c>
      <c r="K15" s="3" t="s">
        <v>31</v>
      </c>
      <c r="L15" s="3" t="s">
        <v>32</v>
      </c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104</v>
      </c>
      <c r="B16" s="3" t="s">
        <v>36</v>
      </c>
      <c r="C16" s="3" t="s">
        <v>105</v>
      </c>
      <c r="D16" s="3" t="s">
        <v>106</v>
      </c>
      <c r="E16" s="3" t="s">
        <v>76</v>
      </c>
      <c r="F16" s="3" t="s">
        <v>65</v>
      </c>
      <c r="G16" s="3" t="s">
        <v>66</v>
      </c>
      <c r="H16" s="3"/>
      <c r="I16" s="3" t="s">
        <v>31</v>
      </c>
      <c r="J16" s="3" t="s">
        <v>72</v>
      </c>
      <c r="K16" s="3" t="s">
        <v>31</v>
      </c>
      <c r="L16" s="3" t="s">
        <v>32</v>
      </c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107</v>
      </c>
      <c r="B17" s="3" t="s">
        <v>39</v>
      </c>
      <c r="C17" s="3" t="s">
        <v>108</v>
      </c>
      <c r="D17" s="3" t="s">
        <v>109</v>
      </c>
      <c r="E17" s="3" t="s">
        <v>76</v>
      </c>
      <c r="F17" s="3" t="s">
        <v>65</v>
      </c>
      <c r="G17" s="3" t="s">
        <v>66</v>
      </c>
      <c r="H17" s="3"/>
      <c r="I17" s="3" t="s">
        <v>31</v>
      </c>
      <c r="J17" s="3" t="s">
        <v>67</v>
      </c>
      <c r="K17" s="3" t="s">
        <v>31</v>
      </c>
      <c r="L17" s="3" t="s">
        <v>32</v>
      </c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110</v>
      </c>
      <c r="B18" s="3" t="s">
        <v>39</v>
      </c>
      <c r="C18" s="3" t="s">
        <v>111</v>
      </c>
      <c r="D18" s="3" t="s">
        <v>112</v>
      </c>
      <c r="E18" s="3" t="s">
        <v>76</v>
      </c>
      <c r="F18" s="3" t="s">
        <v>65</v>
      </c>
      <c r="G18" s="3" t="s">
        <v>66</v>
      </c>
      <c r="H18" s="3"/>
      <c r="I18" s="3" t="s">
        <v>31</v>
      </c>
      <c r="J18" s="3" t="s">
        <v>72</v>
      </c>
      <c r="K18" s="3" t="s">
        <v>31</v>
      </c>
      <c r="L18" s="3" t="s">
        <v>32</v>
      </c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113</v>
      </c>
      <c r="B19" s="3" t="s">
        <v>39</v>
      </c>
      <c r="C19" s="3" t="s">
        <v>114</v>
      </c>
      <c r="D19" s="3" t="s">
        <v>115</v>
      </c>
      <c r="E19" s="3" t="s">
        <v>76</v>
      </c>
      <c r="F19" s="3" t="s">
        <v>65</v>
      </c>
      <c r="G19" s="3" t="s">
        <v>66</v>
      </c>
      <c r="H19" s="3"/>
      <c r="I19" s="3" t="s">
        <v>31</v>
      </c>
      <c r="J19" s="3" t="s">
        <v>72</v>
      </c>
      <c r="K19" s="3" t="s">
        <v>31</v>
      </c>
      <c r="L19" s="3" t="s">
        <v>32</v>
      </c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116</v>
      </c>
      <c r="B20" s="3" t="s">
        <v>39</v>
      </c>
      <c r="C20" s="3" t="s">
        <v>117</v>
      </c>
      <c r="D20" s="3" t="s">
        <v>118</v>
      </c>
      <c r="E20" s="3" t="s">
        <v>64</v>
      </c>
      <c r="F20" s="3" t="s">
        <v>65</v>
      </c>
      <c r="G20" s="3" t="s">
        <v>66</v>
      </c>
      <c r="H20" s="3"/>
      <c r="I20" s="3" t="s">
        <v>31</v>
      </c>
      <c r="J20" s="3" t="s">
        <v>81</v>
      </c>
      <c r="K20" s="3" t="s">
        <v>31</v>
      </c>
      <c r="L20" s="3" t="s">
        <v>32</v>
      </c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 t="s">
        <v>119</v>
      </c>
      <c r="B21" s="3" t="s">
        <v>42</v>
      </c>
      <c r="C21" s="3" t="s">
        <v>120</v>
      </c>
      <c r="D21" s="3" t="s">
        <v>121</v>
      </c>
      <c r="E21" s="3" t="s">
        <v>80</v>
      </c>
      <c r="F21" s="3" t="s">
        <v>122</v>
      </c>
      <c r="G21" s="3" t="s">
        <v>66</v>
      </c>
      <c r="H21" s="3"/>
      <c r="I21" s="3" t="s">
        <v>31</v>
      </c>
      <c r="J21" s="3" t="s">
        <v>72</v>
      </c>
      <c r="K21" s="3" t="s">
        <v>31</v>
      </c>
      <c r="L21" s="3" t="s">
        <v>32</v>
      </c>
      <c r="M21" s="3" t="s">
        <v>123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 t="s">
        <v>124</v>
      </c>
      <c r="B22" s="3" t="s">
        <v>42</v>
      </c>
      <c r="C22" s="3" t="s">
        <v>125</v>
      </c>
      <c r="D22" s="3" t="s">
        <v>126</v>
      </c>
      <c r="E22" s="3" t="s">
        <v>80</v>
      </c>
      <c r="F22" s="3" t="s">
        <v>122</v>
      </c>
      <c r="G22" s="3" t="s">
        <v>66</v>
      </c>
      <c r="H22" s="3"/>
      <c r="I22" s="3" t="s">
        <v>31</v>
      </c>
      <c r="J22" s="3" t="s">
        <v>72</v>
      </c>
      <c r="K22" s="3" t="s">
        <v>31</v>
      </c>
      <c r="L22" s="3" t="s">
        <v>32</v>
      </c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 t="s">
        <v>127</v>
      </c>
      <c r="B23" s="3" t="s">
        <v>42</v>
      </c>
      <c r="C23" s="3" t="s">
        <v>128</v>
      </c>
      <c r="D23" s="3" t="s">
        <v>129</v>
      </c>
      <c r="E23" s="3" t="s">
        <v>80</v>
      </c>
      <c r="F23" s="3" t="s">
        <v>122</v>
      </c>
      <c r="G23" s="3" t="s">
        <v>66</v>
      </c>
      <c r="H23" s="3"/>
      <c r="I23" s="3" t="s">
        <v>31</v>
      </c>
      <c r="J23" s="3" t="s">
        <v>72</v>
      </c>
      <c r="K23" s="3" t="s">
        <v>31</v>
      </c>
      <c r="L23" s="3" t="s">
        <v>32</v>
      </c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 t="s">
        <v>130</v>
      </c>
      <c r="B24" s="3" t="s">
        <v>42</v>
      </c>
      <c r="C24" s="3" t="s">
        <v>131</v>
      </c>
      <c r="D24" s="3" t="s">
        <v>132</v>
      </c>
      <c r="E24" s="3" t="s">
        <v>76</v>
      </c>
      <c r="F24" s="3" t="s">
        <v>65</v>
      </c>
      <c r="G24" s="3" t="s">
        <v>66</v>
      </c>
      <c r="H24" s="3"/>
      <c r="I24" s="3" t="s">
        <v>31</v>
      </c>
      <c r="J24" s="3" t="s">
        <v>72</v>
      </c>
      <c r="K24" s="3" t="s">
        <v>31</v>
      </c>
      <c r="L24" s="3" t="s">
        <v>32</v>
      </c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 t="s">
        <v>133</v>
      </c>
      <c r="B25" s="3" t="s">
        <v>45</v>
      </c>
      <c r="C25" s="3" t="s">
        <v>134</v>
      </c>
      <c r="D25" s="3" t="s">
        <v>135</v>
      </c>
      <c r="E25" s="3" t="s">
        <v>64</v>
      </c>
      <c r="F25" s="3" t="s">
        <v>122</v>
      </c>
      <c r="G25" s="3" t="s">
        <v>66</v>
      </c>
      <c r="H25" s="3"/>
      <c r="I25" s="3" t="s">
        <v>31</v>
      </c>
      <c r="J25" s="3" t="s">
        <v>81</v>
      </c>
      <c r="K25" s="3" t="s">
        <v>31</v>
      </c>
      <c r="L25" s="3" t="s">
        <v>32</v>
      </c>
      <c r="M25" s="3" t="s">
        <v>136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 t="s">
        <v>137</v>
      </c>
      <c r="B26" s="3" t="s">
        <v>45</v>
      </c>
      <c r="C26" s="3" t="s">
        <v>138</v>
      </c>
      <c r="D26" s="3" t="s">
        <v>139</v>
      </c>
      <c r="E26" s="3" t="s">
        <v>76</v>
      </c>
      <c r="F26" s="3" t="s">
        <v>122</v>
      </c>
      <c r="G26" s="3" t="s">
        <v>66</v>
      </c>
      <c r="H26" s="3"/>
      <c r="I26" s="3" t="s">
        <v>31</v>
      </c>
      <c r="J26" s="3" t="s">
        <v>81</v>
      </c>
      <c r="K26" s="3" t="s">
        <v>31</v>
      </c>
      <c r="L26" s="3" t="s">
        <v>32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 t="s">
        <v>140</v>
      </c>
      <c r="B27" s="3" t="s">
        <v>45</v>
      </c>
      <c r="C27" s="3" t="s">
        <v>141</v>
      </c>
      <c r="D27" s="3" t="s">
        <v>142</v>
      </c>
      <c r="E27" s="3" t="s">
        <v>64</v>
      </c>
      <c r="F27" s="3" t="s">
        <v>122</v>
      </c>
      <c r="G27" s="3" t="s">
        <v>66</v>
      </c>
      <c r="H27" s="3"/>
      <c r="I27" s="3" t="s">
        <v>31</v>
      </c>
      <c r="J27" s="3" t="s">
        <v>81</v>
      </c>
      <c r="K27" s="3" t="s">
        <v>31</v>
      </c>
      <c r="L27" s="3" t="s">
        <v>32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 t="s">
        <v>143</v>
      </c>
      <c r="B28" s="3" t="s">
        <v>45</v>
      </c>
      <c r="C28" s="3" t="s">
        <v>144</v>
      </c>
      <c r="D28" s="3" t="s">
        <v>145</v>
      </c>
      <c r="E28" s="3" t="s">
        <v>76</v>
      </c>
      <c r="F28" s="3" t="s">
        <v>122</v>
      </c>
      <c r="G28" s="3" t="s">
        <v>66</v>
      </c>
      <c r="H28" s="3"/>
      <c r="I28" s="3" t="s">
        <v>31</v>
      </c>
      <c r="J28" s="3" t="s">
        <v>81</v>
      </c>
      <c r="K28" s="3" t="s">
        <v>31</v>
      </c>
      <c r="L28" s="3" t="s">
        <v>32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M1"/>
    <mergeCell ref="A2:M2"/>
  </mergeCells>
  <dataValidations count="3">
    <dataValidation type="list" sqref="F5:F28" xr:uid="{00000000-0002-0000-0200-000000000000}">
      <formula1>"Applicable,Applicable avec adaptation,Non applicable,Non évaluable"</formula1>
    </dataValidation>
    <dataValidation type="list" sqref="J5:J28" xr:uid="{00000000-0002-0000-0200-000001000000}">
      <formula1>"Critique,Importante,Secondaire"</formula1>
    </dataValidation>
    <dataValidation type="list" sqref="K5:K28" xr:uid="{00000000-0002-0000-0200-000002000000}">
      <formula1>"Actif,À calibrer,À observer,Suspendu,Retiré"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baseColWidth="10" defaultColWidth="8.88671875" defaultRowHeight="14.4"/>
  <cols>
    <col min="1" max="1" width="17" customWidth="1"/>
    <col min="2" max="2" width="9" customWidth="1"/>
    <col min="3" max="3" width="12" customWidth="1"/>
    <col min="4" max="4" width="36" customWidth="1"/>
    <col min="5" max="6" width="16" customWidth="1"/>
    <col min="7" max="7" width="12" customWidth="1"/>
    <col min="8" max="8" width="30" customWidth="1"/>
    <col min="9" max="9" width="28" customWidth="1"/>
    <col min="10" max="10" width="14" customWidth="1"/>
    <col min="11" max="11" width="13" customWidth="1"/>
    <col min="12" max="12" width="24" customWidth="1"/>
    <col min="13" max="13" width="20" customWidth="1"/>
    <col min="14" max="14" width="14" customWidth="1"/>
  </cols>
  <sheetData>
    <row r="1" spans="1:26" ht="22.35" customHeight="1">
      <c r="A1" s="11" t="s">
        <v>146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147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148</v>
      </c>
      <c r="B4" s="2" t="s">
        <v>23</v>
      </c>
      <c r="C4" s="2" t="s">
        <v>51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57</v>
      </c>
      <c r="K4" s="2" t="s">
        <v>58</v>
      </c>
      <c r="L4" s="2" t="s">
        <v>54</v>
      </c>
      <c r="M4" s="2" t="s">
        <v>155</v>
      </c>
      <c r="N4" s="2" t="s">
        <v>26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156</v>
      </c>
      <c r="B5" s="3" t="s">
        <v>28</v>
      </c>
      <c r="C5" s="3" t="s">
        <v>61</v>
      </c>
      <c r="D5" s="3" t="s">
        <v>157</v>
      </c>
      <c r="E5" s="3" t="s">
        <v>158</v>
      </c>
      <c r="F5" s="3" t="s">
        <v>159</v>
      </c>
      <c r="G5" s="3"/>
      <c r="H5" s="3" t="s">
        <v>160</v>
      </c>
      <c r="I5" s="3" t="s">
        <v>161</v>
      </c>
      <c r="J5" s="3" t="s">
        <v>31</v>
      </c>
      <c r="K5" s="3" t="s">
        <v>67</v>
      </c>
      <c r="L5" s="3" t="s">
        <v>65</v>
      </c>
      <c r="M5" s="3" t="s">
        <v>31</v>
      </c>
      <c r="N5" s="3" t="s">
        <v>66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3" t="s">
        <v>28</v>
      </c>
      <c r="C6" s="3" t="s">
        <v>61</v>
      </c>
      <c r="D6" s="3" t="s">
        <v>163</v>
      </c>
      <c r="E6" s="3" t="s">
        <v>158</v>
      </c>
      <c r="F6" s="3" t="s">
        <v>164</v>
      </c>
      <c r="G6" s="3"/>
      <c r="H6" s="3" t="s">
        <v>165</v>
      </c>
      <c r="I6" s="3" t="s">
        <v>166</v>
      </c>
      <c r="J6" s="3" t="s">
        <v>31</v>
      </c>
      <c r="K6" s="3" t="s">
        <v>72</v>
      </c>
      <c r="L6" s="3" t="s">
        <v>65</v>
      </c>
      <c r="M6" s="3" t="s">
        <v>31</v>
      </c>
      <c r="N6" s="3" t="s">
        <v>66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167</v>
      </c>
      <c r="B7" s="3" t="s">
        <v>28</v>
      </c>
      <c r="C7" s="3" t="s">
        <v>61</v>
      </c>
      <c r="D7" s="3" t="s">
        <v>168</v>
      </c>
      <c r="E7" s="3" t="s">
        <v>158</v>
      </c>
      <c r="F7" s="3" t="s">
        <v>159</v>
      </c>
      <c r="G7" s="3"/>
      <c r="H7" s="3" t="s">
        <v>169</v>
      </c>
      <c r="I7" s="3" t="s">
        <v>170</v>
      </c>
      <c r="J7" s="3" t="s">
        <v>31</v>
      </c>
      <c r="K7" s="3" t="s">
        <v>67</v>
      </c>
      <c r="L7" s="3" t="s">
        <v>122</v>
      </c>
      <c r="M7" s="3" t="s">
        <v>31</v>
      </c>
      <c r="N7" s="3" t="s">
        <v>66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171</v>
      </c>
      <c r="B8" s="3" t="s">
        <v>28</v>
      </c>
      <c r="C8" s="3" t="s">
        <v>61</v>
      </c>
      <c r="D8" s="3" t="s">
        <v>172</v>
      </c>
      <c r="E8" s="3" t="s">
        <v>158</v>
      </c>
      <c r="F8" s="3" t="s">
        <v>164</v>
      </c>
      <c r="G8" s="3"/>
      <c r="H8" s="3" t="s">
        <v>169</v>
      </c>
      <c r="I8" s="3" t="s">
        <v>165</v>
      </c>
      <c r="J8" s="3" t="s">
        <v>31</v>
      </c>
      <c r="K8" s="3" t="s">
        <v>67</v>
      </c>
      <c r="L8" s="3" t="s">
        <v>122</v>
      </c>
      <c r="M8" s="3" t="s">
        <v>31</v>
      </c>
      <c r="N8" s="3" t="s">
        <v>66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173</v>
      </c>
      <c r="B9" s="3" t="s">
        <v>28</v>
      </c>
      <c r="C9" s="3" t="s">
        <v>69</v>
      </c>
      <c r="D9" s="3" t="s">
        <v>174</v>
      </c>
      <c r="E9" s="3" t="s">
        <v>158</v>
      </c>
      <c r="F9" s="3" t="s">
        <v>159</v>
      </c>
      <c r="G9" s="3"/>
      <c r="H9" s="3" t="s">
        <v>175</v>
      </c>
      <c r="I9" s="3" t="s">
        <v>176</v>
      </c>
      <c r="J9" s="3" t="s">
        <v>31</v>
      </c>
      <c r="K9" s="3" t="s">
        <v>72</v>
      </c>
      <c r="L9" s="3" t="s">
        <v>65</v>
      </c>
      <c r="M9" s="3" t="s">
        <v>31</v>
      </c>
      <c r="N9" s="3" t="s">
        <v>66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177</v>
      </c>
      <c r="B10" s="3" t="s">
        <v>28</v>
      </c>
      <c r="C10" s="3" t="s">
        <v>69</v>
      </c>
      <c r="D10" s="3" t="s">
        <v>178</v>
      </c>
      <c r="E10" s="3" t="s">
        <v>179</v>
      </c>
      <c r="F10" s="3" t="s">
        <v>159</v>
      </c>
      <c r="G10" s="3"/>
      <c r="H10" s="3" t="s">
        <v>180</v>
      </c>
      <c r="I10" s="3" t="s">
        <v>176</v>
      </c>
      <c r="J10" s="3" t="s">
        <v>31</v>
      </c>
      <c r="K10" s="3" t="s">
        <v>81</v>
      </c>
      <c r="L10" s="3" t="s">
        <v>122</v>
      </c>
      <c r="M10" s="3" t="s">
        <v>31</v>
      </c>
      <c r="N10" s="3" t="s">
        <v>66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181</v>
      </c>
      <c r="B11" s="3" t="s">
        <v>28</v>
      </c>
      <c r="C11" s="3" t="s">
        <v>73</v>
      </c>
      <c r="D11" s="3" t="s">
        <v>182</v>
      </c>
      <c r="E11" s="3" t="s">
        <v>158</v>
      </c>
      <c r="F11" s="3" t="s">
        <v>159</v>
      </c>
      <c r="G11" s="3"/>
      <c r="H11" s="3" t="s">
        <v>183</v>
      </c>
      <c r="I11" s="3" t="s">
        <v>166</v>
      </c>
      <c r="J11" s="3" t="s">
        <v>31</v>
      </c>
      <c r="K11" s="3" t="s">
        <v>72</v>
      </c>
      <c r="L11" s="3" t="s">
        <v>65</v>
      </c>
      <c r="M11" s="3" t="s">
        <v>31</v>
      </c>
      <c r="N11" s="3" t="s">
        <v>66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184</v>
      </c>
      <c r="B12" s="3" t="s">
        <v>28</v>
      </c>
      <c r="C12" s="3" t="s">
        <v>73</v>
      </c>
      <c r="D12" s="3" t="s">
        <v>185</v>
      </c>
      <c r="E12" s="3" t="s">
        <v>158</v>
      </c>
      <c r="F12" s="3" t="s">
        <v>159</v>
      </c>
      <c r="G12" s="3"/>
      <c r="H12" s="3" t="s">
        <v>186</v>
      </c>
      <c r="I12" s="3" t="s">
        <v>187</v>
      </c>
      <c r="J12" s="3" t="s">
        <v>31</v>
      </c>
      <c r="K12" s="3" t="s">
        <v>72</v>
      </c>
      <c r="L12" s="3" t="s">
        <v>65</v>
      </c>
      <c r="M12" s="3" t="s">
        <v>31</v>
      </c>
      <c r="N12" s="3" t="s">
        <v>66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8">
      <c r="A13" s="3" t="s">
        <v>188</v>
      </c>
      <c r="B13" s="3" t="s">
        <v>28</v>
      </c>
      <c r="C13" s="3" t="s">
        <v>77</v>
      </c>
      <c r="D13" s="3" t="s">
        <v>189</v>
      </c>
      <c r="E13" s="3" t="s">
        <v>158</v>
      </c>
      <c r="F13" s="3" t="s">
        <v>190</v>
      </c>
      <c r="G13" s="3"/>
      <c r="H13" s="3" t="s">
        <v>191</v>
      </c>
      <c r="I13" s="3" t="s">
        <v>192</v>
      </c>
      <c r="J13" s="3" t="s">
        <v>31</v>
      </c>
      <c r="K13" s="3" t="s">
        <v>72</v>
      </c>
      <c r="L13" s="3" t="s">
        <v>65</v>
      </c>
      <c r="M13" s="3" t="s">
        <v>31</v>
      </c>
      <c r="N13" s="3" t="s">
        <v>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193</v>
      </c>
      <c r="B14" s="3" t="s">
        <v>28</v>
      </c>
      <c r="C14" s="3" t="s">
        <v>77</v>
      </c>
      <c r="D14" s="3" t="s">
        <v>194</v>
      </c>
      <c r="E14" s="3" t="s">
        <v>195</v>
      </c>
      <c r="F14" s="3" t="s">
        <v>196</v>
      </c>
      <c r="G14" s="3" t="s">
        <v>197</v>
      </c>
      <c r="H14" s="3" t="s">
        <v>198</v>
      </c>
      <c r="I14" s="3" t="s">
        <v>199</v>
      </c>
      <c r="J14" s="3" t="s">
        <v>31</v>
      </c>
      <c r="K14" s="3" t="s">
        <v>81</v>
      </c>
      <c r="L14" s="3" t="s">
        <v>65</v>
      </c>
      <c r="M14" s="3" t="s">
        <v>200</v>
      </c>
      <c r="N14" s="3" t="s">
        <v>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201</v>
      </c>
      <c r="B15" s="3" t="s">
        <v>33</v>
      </c>
      <c r="C15" s="3" t="s">
        <v>83</v>
      </c>
      <c r="D15" s="3" t="s">
        <v>202</v>
      </c>
      <c r="E15" s="3" t="s">
        <v>195</v>
      </c>
      <c r="F15" s="3" t="s">
        <v>203</v>
      </c>
      <c r="G15" s="3" t="s">
        <v>204</v>
      </c>
      <c r="H15" s="3" t="s">
        <v>205</v>
      </c>
      <c r="I15" s="3" t="s">
        <v>206</v>
      </c>
      <c r="J15" s="3" t="s">
        <v>31</v>
      </c>
      <c r="K15" s="3" t="s">
        <v>72</v>
      </c>
      <c r="L15" s="3" t="s">
        <v>65</v>
      </c>
      <c r="M15" s="3" t="s">
        <v>200</v>
      </c>
      <c r="N15" s="3" t="s">
        <v>66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207</v>
      </c>
      <c r="B16" s="3" t="s">
        <v>33</v>
      </c>
      <c r="C16" s="3" t="s">
        <v>86</v>
      </c>
      <c r="D16" s="3" t="s">
        <v>208</v>
      </c>
      <c r="E16" s="3" t="s">
        <v>209</v>
      </c>
      <c r="F16" s="3" t="s">
        <v>196</v>
      </c>
      <c r="G16" s="3"/>
      <c r="H16" s="3" t="s">
        <v>210</v>
      </c>
      <c r="I16" s="3" t="s">
        <v>206</v>
      </c>
      <c r="J16" s="3" t="s">
        <v>31</v>
      </c>
      <c r="K16" s="3" t="s">
        <v>72</v>
      </c>
      <c r="L16" s="3" t="s">
        <v>65</v>
      </c>
      <c r="M16" s="3" t="s">
        <v>200</v>
      </c>
      <c r="N16" s="3" t="s">
        <v>66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211</v>
      </c>
      <c r="B17" s="3" t="s">
        <v>33</v>
      </c>
      <c r="C17" s="3" t="s">
        <v>86</v>
      </c>
      <c r="D17" s="3" t="s">
        <v>212</v>
      </c>
      <c r="E17" s="3" t="s">
        <v>209</v>
      </c>
      <c r="F17" s="3" t="s">
        <v>196</v>
      </c>
      <c r="G17" s="3"/>
      <c r="H17" s="3" t="s">
        <v>210</v>
      </c>
      <c r="I17" s="3" t="s">
        <v>206</v>
      </c>
      <c r="J17" s="3" t="s">
        <v>31</v>
      </c>
      <c r="K17" s="3" t="s">
        <v>67</v>
      </c>
      <c r="L17" s="3" t="s">
        <v>65</v>
      </c>
      <c r="M17" s="3" t="s">
        <v>200</v>
      </c>
      <c r="N17" s="3" t="s">
        <v>66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213</v>
      </c>
      <c r="B18" s="3" t="s">
        <v>33</v>
      </c>
      <c r="C18" s="3" t="s">
        <v>89</v>
      </c>
      <c r="D18" s="3" t="s">
        <v>214</v>
      </c>
      <c r="E18" s="3" t="s">
        <v>215</v>
      </c>
      <c r="F18" s="3" t="s">
        <v>203</v>
      </c>
      <c r="G18" s="3" t="s">
        <v>204</v>
      </c>
      <c r="H18" s="3" t="s">
        <v>216</v>
      </c>
      <c r="I18" s="3" t="s">
        <v>206</v>
      </c>
      <c r="J18" s="3" t="s">
        <v>31</v>
      </c>
      <c r="K18" s="3" t="s">
        <v>72</v>
      </c>
      <c r="L18" s="3" t="s">
        <v>65</v>
      </c>
      <c r="M18" s="3" t="s">
        <v>200</v>
      </c>
      <c r="N18" s="3" t="s">
        <v>66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217</v>
      </c>
      <c r="B19" s="3" t="s">
        <v>33</v>
      </c>
      <c r="C19" s="3" t="s">
        <v>89</v>
      </c>
      <c r="D19" s="3" t="s">
        <v>218</v>
      </c>
      <c r="E19" s="3" t="s">
        <v>215</v>
      </c>
      <c r="F19" s="3" t="s">
        <v>203</v>
      </c>
      <c r="G19" s="3" t="s">
        <v>204</v>
      </c>
      <c r="H19" s="3" t="s">
        <v>219</v>
      </c>
      <c r="I19" s="3" t="s">
        <v>206</v>
      </c>
      <c r="J19" s="3" t="s">
        <v>31</v>
      </c>
      <c r="K19" s="3" t="s">
        <v>72</v>
      </c>
      <c r="L19" s="3" t="s">
        <v>65</v>
      </c>
      <c r="M19" s="3" t="s">
        <v>200</v>
      </c>
      <c r="N19" s="3" t="s">
        <v>66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220</v>
      </c>
      <c r="B20" s="3" t="s">
        <v>33</v>
      </c>
      <c r="C20" s="3" t="s">
        <v>92</v>
      </c>
      <c r="D20" s="3" t="s">
        <v>221</v>
      </c>
      <c r="E20" s="3" t="s">
        <v>215</v>
      </c>
      <c r="F20" s="3" t="s">
        <v>190</v>
      </c>
      <c r="G20" s="3"/>
      <c r="H20" s="3" t="s">
        <v>222</v>
      </c>
      <c r="I20" s="3" t="s">
        <v>206</v>
      </c>
      <c r="J20" s="3" t="s">
        <v>31</v>
      </c>
      <c r="K20" s="3" t="s">
        <v>81</v>
      </c>
      <c r="L20" s="3" t="s">
        <v>65</v>
      </c>
      <c r="M20" s="3" t="s">
        <v>223</v>
      </c>
      <c r="N20" s="3" t="s">
        <v>66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 t="s">
        <v>224</v>
      </c>
      <c r="B21" s="3" t="s">
        <v>36</v>
      </c>
      <c r="C21" s="3" t="s">
        <v>95</v>
      </c>
      <c r="D21" s="3" t="s">
        <v>225</v>
      </c>
      <c r="E21" s="3" t="s">
        <v>158</v>
      </c>
      <c r="F21" s="3" t="s">
        <v>196</v>
      </c>
      <c r="G21" s="3" t="s">
        <v>226</v>
      </c>
      <c r="H21" s="3" t="s">
        <v>227</v>
      </c>
      <c r="I21" s="3" t="s">
        <v>166</v>
      </c>
      <c r="J21" s="3" t="s">
        <v>31</v>
      </c>
      <c r="K21" s="3" t="s">
        <v>72</v>
      </c>
      <c r="L21" s="3" t="s">
        <v>65</v>
      </c>
      <c r="M21" s="3" t="s">
        <v>228</v>
      </c>
      <c r="N21" s="3" t="s">
        <v>66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 t="s">
        <v>229</v>
      </c>
      <c r="B22" s="3" t="s">
        <v>36</v>
      </c>
      <c r="C22" s="3" t="s">
        <v>98</v>
      </c>
      <c r="D22" s="3" t="s">
        <v>230</v>
      </c>
      <c r="E22" s="3" t="s">
        <v>158</v>
      </c>
      <c r="F22" s="3" t="s">
        <v>196</v>
      </c>
      <c r="G22" s="3" t="s">
        <v>197</v>
      </c>
      <c r="H22" s="3" t="s">
        <v>227</v>
      </c>
      <c r="I22" s="3" t="s">
        <v>166</v>
      </c>
      <c r="J22" s="3" t="s">
        <v>31</v>
      </c>
      <c r="K22" s="3" t="s">
        <v>72</v>
      </c>
      <c r="L22" s="3" t="s">
        <v>65</v>
      </c>
      <c r="M22" s="3" t="s">
        <v>228</v>
      </c>
      <c r="N22" s="3" t="s">
        <v>66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 t="s">
        <v>231</v>
      </c>
      <c r="B23" s="3" t="s">
        <v>36</v>
      </c>
      <c r="C23" s="3" t="s">
        <v>98</v>
      </c>
      <c r="D23" s="3" t="s">
        <v>232</v>
      </c>
      <c r="E23" s="3" t="s">
        <v>158</v>
      </c>
      <c r="F23" s="3" t="s">
        <v>196</v>
      </c>
      <c r="G23" s="3" t="s">
        <v>226</v>
      </c>
      <c r="H23" s="3" t="s">
        <v>233</v>
      </c>
      <c r="I23" s="3" t="s">
        <v>166</v>
      </c>
      <c r="J23" s="3" t="s">
        <v>31</v>
      </c>
      <c r="K23" s="3" t="s">
        <v>72</v>
      </c>
      <c r="L23" s="3" t="s">
        <v>65</v>
      </c>
      <c r="M23" s="3" t="s">
        <v>228</v>
      </c>
      <c r="N23" s="3" t="s">
        <v>66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 t="s">
        <v>234</v>
      </c>
      <c r="B24" s="3" t="s">
        <v>36</v>
      </c>
      <c r="C24" s="3" t="s">
        <v>101</v>
      </c>
      <c r="D24" s="3" t="s">
        <v>235</v>
      </c>
      <c r="E24" s="3" t="s">
        <v>158</v>
      </c>
      <c r="F24" s="3" t="s">
        <v>236</v>
      </c>
      <c r="G24" s="3" t="s">
        <v>204</v>
      </c>
      <c r="H24" s="3" t="s">
        <v>237</v>
      </c>
      <c r="I24" s="3" t="s">
        <v>166</v>
      </c>
      <c r="J24" s="3" t="s">
        <v>31</v>
      </c>
      <c r="K24" s="3" t="s">
        <v>72</v>
      </c>
      <c r="L24" s="3" t="s">
        <v>122</v>
      </c>
      <c r="M24" s="3" t="s">
        <v>228</v>
      </c>
      <c r="N24" s="3" t="s">
        <v>66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 t="s">
        <v>238</v>
      </c>
      <c r="B25" s="3" t="s">
        <v>36</v>
      </c>
      <c r="C25" s="3" t="s">
        <v>104</v>
      </c>
      <c r="D25" s="3" t="s">
        <v>239</v>
      </c>
      <c r="E25" s="3" t="s">
        <v>195</v>
      </c>
      <c r="F25" s="3" t="s">
        <v>203</v>
      </c>
      <c r="G25" s="3" t="s">
        <v>204</v>
      </c>
      <c r="H25" s="3" t="s">
        <v>233</v>
      </c>
      <c r="I25" s="3" t="s">
        <v>206</v>
      </c>
      <c r="J25" s="3" t="s">
        <v>31</v>
      </c>
      <c r="K25" s="3" t="s">
        <v>72</v>
      </c>
      <c r="L25" s="3" t="s">
        <v>65</v>
      </c>
      <c r="M25" s="3" t="s">
        <v>228</v>
      </c>
      <c r="N25" s="3" t="s">
        <v>66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 t="s">
        <v>240</v>
      </c>
      <c r="B26" s="3" t="s">
        <v>39</v>
      </c>
      <c r="C26" s="3" t="s">
        <v>107</v>
      </c>
      <c r="D26" s="3" t="s">
        <v>241</v>
      </c>
      <c r="E26" s="3" t="s">
        <v>158</v>
      </c>
      <c r="F26" s="3" t="s">
        <v>196</v>
      </c>
      <c r="G26" s="3"/>
      <c r="H26" s="3" t="s">
        <v>242</v>
      </c>
      <c r="I26" s="3" t="s">
        <v>166</v>
      </c>
      <c r="J26" s="3" t="s">
        <v>31</v>
      </c>
      <c r="K26" s="3" t="s">
        <v>67</v>
      </c>
      <c r="L26" s="3" t="s">
        <v>65</v>
      </c>
      <c r="M26" s="3" t="s">
        <v>228</v>
      </c>
      <c r="N26" s="3" t="s">
        <v>66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 t="s">
        <v>243</v>
      </c>
      <c r="B27" s="3" t="s">
        <v>39</v>
      </c>
      <c r="C27" s="3" t="s">
        <v>110</v>
      </c>
      <c r="D27" s="3" t="s">
        <v>244</v>
      </c>
      <c r="E27" s="3" t="s">
        <v>158</v>
      </c>
      <c r="F27" s="3" t="s">
        <v>203</v>
      </c>
      <c r="G27" s="3" t="s">
        <v>204</v>
      </c>
      <c r="H27" s="3" t="s">
        <v>245</v>
      </c>
      <c r="I27" s="3" t="s">
        <v>246</v>
      </c>
      <c r="J27" s="3" t="s">
        <v>31</v>
      </c>
      <c r="K27" s="3" t="s">
        <v>72</v>
      </c>
      <c r="L27" s="3" t="s">
        <v>122</v>
      </c>
      <c r="M27" s="3" t="s">
        <v>228</v>
      </c>
      <c r="N27" s="3" t="s">
        <v>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 t="s">
        <v>247</v>
      </c>
      <c r="B28" s="3" t="s">
        <v>39</v>
      </c>
      <c r="C28" s="3" t="s">
        <v>110</v>
      </c>
      <c r="D28" s="3" t="s">
        <v>248</v>
      </c>
      <c r="E28" s="3" t="s">
        <v>158</v>
      </c>
      <c r="F28" s="3" t="s">
        <v>203</v>
      </c>
      <c r="G28" s="3" t="s">
        <v>204</v>
      </c>
      <c r="H28" s="3" t="s">
        <v>246</v>
      </c>
      <c r="I28" s="3" t="s">
        <v>249</v>
      </c>
      <c r="J28" s="3" t="s">
        <v>31</v>
      </c>
      <c r="K28" s="3" t="s">
        <v>72</v>
      </c>
      <c r="L28" s="3" t="s">
        <v>122</v>
      </c>
      <c r="M28" s="3" t="s">
        <v>228</v>
      </c>
      <c r="N28" s="3" t="s">
        <v>66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 t="s">
        <v>250</v>
      </c>
      <c r="B29" s="3" t="s">
        <v>39</v>
      </c>
      <c r="C29" s="3" t="s">
        <v>113</v>
      </c>
      <c r="D29" s="3" t="s">
        <v>251</v>
      </c>
      <c r="E29" s="3" t="s">
        <v>158</v>
      </c>
      <c r="F29" s="3" t="s">
        <v>196</v>
      </c>
      <c r="G29" s="3"/>
      <c r="H29" s="3" t="s">
        <v>242</v>
      </c>
      <c r="I29" s="3" t="s">
        <v>166</v>
      </c>
      <c r="J29" s="3" t="s">
        <v>31</v>
      </c>
      <c r="K29" s="3" t="s">
        <v>72</v>
      </c>
      <c r="L29" s="3" t="s">
        <v>65</v>
      </c>
      <c r="M29" s="3" t="s">
        <v>228</v>
      </c>
      <c r="N29" s="3" t="s">
        <v>66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 t="s">
        <v>252</v>
      </c>
      <c r="B30" s="3" t="s">
        <v>39</v>
      </c>
      <c r="C30" s="3" t="s">
        <v>113</v>
      </c>
      <c r="D30" s="3" t="s">
        <v>253</v>
      </c>
      <c r="E30" s="3" t="s">
        <v>158</v>
      </c>
      <c r="F30" s="3" t="s">
        <v>164</v>
      </c>
      <c r="G30" s="3"/>
      <c r="H30" s="3" t="s">
        <v>254</v>
      </c>
      <c r="I30" s="3" t="s">
        <v>176</v>
      </c>
      <c r="J30" s="3" t="s">
        <v>31</v>
      </c>
      <c r="K30" s="3" t="s">
        <v>72</v>
      </c>
      <c r="L30" s="3" t="s">
        <v>255</v>
      </c>
      <c r="M30" s="3" t="s">
        <v>228</v>
      </c>
      <c r="N30" s="3" t="s">
        <v>66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 t="s">
        <v>256</v>
      </c>
      <c r="B31" s="3" t="s">
        <v>39</v>
      </c>
      <c r="C31" s="3" t="s">
        <v>116</v>
      </c>
      <c r="D31" s="3" t="s">
        <v>118</v>
      </c>
      <c r="E31" s="3" t="s">
        <v>158</v>
      </c>
      <c r="F31" s="3" t="s">
        <v>257</v>
      </c>
      <c r="G31" s="3"/>
      <c r="H31" s="3" t="s">
        <v>258</v>
      </c>
      <c r="I31" s="3" t="s">
        <v>259</v>
      </c>
      <c r="J31" s="3" t="s">
        <v>31</v>
      </c>
      <c r="K31" s="3" t="s">
        <v>81</v>
      </c>
      <c r="L31" s="3" t="s">
        <v>122</v>
      </c>
      <c r="M31" s="3" t="s">
        <v>31</v>
      </c>
      <c r="N31" s="3" t="s">
        <v>66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 t="s">
        <v>260</v>
      </c>
      <c r="B32" s="3" t="s">
        <v>42</v>
      </c>
      <c r="C32" s="3" t="s">
        <v>119</v>
      </c>
      <c r="D32" s="3" t="s">
        <v>261</v>
      </c>
      <c r="E32" s="3" t="s">
        <v>158</v>
      </c>
      <c r="F32" s="3" t="s">
        <v>196</v>
      </c>
      <c r="G32" s="3" t="s">
        <v>262</v>
      </c>
      <c r="H32" s="3" t="s">
        <v>263</v>
      </c>
      <c r="I32" s="3" t="s">
        <v>264</v>
      </c>
      <c r="J32" s="3" t="s">
        <v>31</v>
      </c>
      <c r="K32" s="3" t="s">
        <v>72</v>
      </c>
      <c r="L32" s="3" t="s">
        <v>122</v>
      </c>
      <c r="M32" s="3" t="s">
        <v>228</v>
      </c>
      <c r="N32" s="3" t="s">
        <v>66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 t="s">
        <v>265</v>
      </c>
      <c r="B33" s="3" t="s">
        <v>42</v>
      </c>
      <c r="C33" s="3" t="s">
        <v>124</v>
      </c>
      <c r="D33" s="3" t="s">
        <v>266</v>
      </c>
      <c r="E33" s="3" t="s">
        <v>195</v>
      </c>
      <c r="F33" s="3" t="s">
        <v>203</v>
      </c>
      <c r="G33" s="3" t="s">
        <v>204</v>
      </c>
      <c r="H33" s="3" t="s">
        <v>233</v>
      </c>
      <c r="I33" s="3" t="s">
        <v>206</v>
      </c>
      <c r="J33" s="3" t="s">
        <v>31</v>
      </c>
      <c r="K33" s="3" t="s">
        <v>72</v>
      </c>
      <c r="L33" s="3" t="s">
        <v>122</v>
      </c>
      <c r="M33" s="3" t="s">
        <v>228</v>
      </c>
      <c r="N33" s="3" t="s">
        <v>66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 t="s">
        <v>267</v>
      </c>
      <c r="B34" s="3" t="s">
        <v>42</v>
      </c>
      <c r="C34" s="3" t="s">
        <v>127</v>
      </c>
      <c r="D34" s="3" t="s">
        <v>268</v>
      </c>
      <c r="E34" s="3" t="s">
        <v>195</v>
      </c>
      <c r="F34" s="3" t="s">
        <v>203</v>
      </c>
      <c r="G34" s="3" t="s">
        <v>204</v>
      </c>
      <c r="H34" s="3" t="s">
        <v>269</v>
      </c>
      <c r="I34" s="3" t="s">
        <v>166</v>
      </c>
      <c r="J34" s="3" t="s">
        <v>31</v>
      </c>
      <c r="K34" s="3" t="s">
        <v>72</v>
      </c>
      <c r="L34" s="3" t="s">
        <v>122</v>
      </c>
      <c r="M34" s="3" t="s">
        <v>228</v>
      </c>
      <c r="N34" s="3" t="s">
        <v>66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 t="s">
        <v>270</v>
      </c>
      <c r="B35" s="3" t="s">
        <v>42</v>
      </c>
      <c r="C35" s="3" t="s">
        <v>130</v>
      </c>
      <c r="D35" s="3" t="s">
        <v>271</v>
      </c>
      <c r="E35" s="3" t="s">
        <v>158</v>
      </c>
      <c r="F35" s="3" t="s">
        <v>196</v>
      </c>
      <c r="G35" s="3"/>
      <c r="H35" s="3" t="s">
        <v>233</v>
      </c>
      <c r="I35" s="3" t="s">
        <v>166</v>
      </c>
      <c r="J35" s="3" t="s">
        <v>31</v>
      </c>
      <c r="K35" s="3" t="s">
        <v>72</v>
      </c>
      <c r="L35" s="3" t="s">
        <v>65</v>
      </c>
      <c r="M35" s="3" t="s">
        <v>228</v>
      </c>
      <c r="N35" s="3" t="s">
        <v>66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 t="s">
        <v>272</v>
      </c>
      <c r="B36" s="3" t="s">
        <v>42</v>
      </c>
      <c r="C36" s="3" t="s">
        <v>130</v>
      </c>
      <c r="D36" s="3" t="s">
        <v>273</v>
      </c>
      <c r="E36" s="3" t="s">
        <v>158</v>
      </c>
      <c r="F36" s="3" t="s">
        <v>274</v>
      </c>
      <c r="G36" s="3"/>
      <c r="H36" s="3" t="s">
        <v>275</v>
      </c>
      <c r="I36" s="3" t="s">
        <v>276</v>
      </c>
      <c r="J36" s="3" t="s">
        <v>31</v>
      </c>
      <c r="K36" s="3" t="s">
        <v>72</v>
      </c>
      <c r="L36" s="3" t="s">
        <v>65</v>
      </c>
      <c r="M36" s="3" t="s">
        <v>228</v>
      </c>
      <c r="N36" s="3" t="s">
        <v>66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 t="s">
        <v>277</v>
      </c>
      <c r="B37" s="3" t="s">
        <v>45</v>
      </c>
      <c r="C37" s="3" t="s">
        <v>133</v>
      </c>
      <c r="D37" s="3" t="s">
        <v>135</v>
      </c>
      <c r="E37" s="3" t="s">
        <v>158</v>
      </c>
      <c r="F37" s="3" t="s">
        <v>164</v>
      </c>
      <c r="G37" s="3"/>
      <c r="H37" s="3" t="s">
        <v>278</v>
      </c>
      <c r="I37" s="3" t="s">
        <v>279</v>
      </c>
      <c r="J37" s="3" t="s">
        <v>31</v>
      </c>
      <c r="K37" s="3" t="s">
        <v>81</v>
      </c>
      <c r="L37" s="3" t="s">
        <v>122</v>
      </c>
      <c r="M37" s="3" t="s">
        <v>31</v>
      </c>
      <c r="N37" s="3" t="s">
        <v>66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 t="s">
        <v>280</v>
      </c>
      <c r="B38" s="3" t="s">
        <v>45</v>
      </c>
      <c r="C38" s="3" t="s">
        <v>137</v>
      </c>
      <c r="D38" s="3" t="s">
        <v>281</v>
      </c>
      <c r="E38" s="3" t="s">
        <v>158</v>
      </c>
      <c r="F38" s="3" t="s">
        <v>236</v>
      </c>
      <c r="G38" s="3" t="s">
        <v>204</v>
      </c>
      <c r="H38" s="3" t="s">
        <v>279</v>
      </c>
      <c r="I38" s="3" t="s">
        <v>282</v>
      </c>
      <c r="J38" s="3" t="s">
        <v>31</v>
      </c>
      <c r="K38" s="3" t="s">
        <v>81</v>
      </c>
      <c r="L38" s="3" t="s">
        <v>122</v>
      </c>
      <c r="M38" s="3" t="s">
        <v>31</v>
      </c>
      <c r="N38" s="3" t="s">
        <v>66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 t="s">
        <v>283</v>
      </c>
      <c r="B39" s="3" t="s">
        <v>45</v>
      </c>
      <c r="C39" s="3" t="s">
        <v>137</v>
      </c>
      <c r="D39" s="3" t="s">
        <v>284</v>
      </c>
      <c r="E39" s="3" t="s">
        <v>158</v>
      </c>
      <c r="F39" s="3" t="s">
        <v>164</v>
      </c>
      <c r="G39" s="3"/>
      <c r="H39" s="3" t="s">
        <v>285</v>
      </c>
      <c r="I39" s="3" t="s">
        <v>286</v>
      </c>
      <c r="J39" s="3" t="s">
        <v>31</v>
      </c>
      <c r="K39" s="3" t="s">
        <v>81</v>
      </c>
      <c r="L39" s="3" t="s">
        <v>122</v>
      </c>
      <c r="M39" s="3" t="s">
        <v>31</v>
      </c>
      <c r="N39" s="3" t="s">
        <v>66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 t="s">
        <v>287</v>
      </c>
      <c r="B40" s="3" t="s">
        <v>45</v>
      </c>
      <c r="C40" s="3" t="s">
        <v>140</v>
      </c>
      <c r="D40" s="3" t="s">
        <v>142</v>
      </c>
      <c r="E40" s="3" t="s">
        <v>158</v>
      </c>
      <c r="F40" s="3" t="s">
        <v>164</v>
      </c>
      <c r="G40" s="3"/>
      <c r="H40" s="3" t="s">
        <v>288</v>
      </c>
      <c r="I40" s="3" t="s">
        <v>279</v>
      </c>
      <c r="J40" s="3" t="s">
        <v>31</v>
      </c>
      <c r="K40" s="3" t="s">
        <v>81</v>
      </c>
      <c r="L40" s="3" t="s">
        <v>122</v>
      </c>
      <c r="M40" s="3" t="s">
        <v>31</v>
      </c>
      <c r="N40" s="3" t="s">
        <v>66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3" t="s">
        <v>289</v>
      </c>
      <c r="B41" s="3" t="s">
        <v>45</v>
      </c>
      <c r="C41" s="3" t="s">
        <v>143</v>
      </c>
      <c r="D41" s="3" t="s">
        <v>290</v>
      </c>
      <c r="E41" s="3" t="s">
        <v>158</v>
      </c>
      <c r="F41" s="3" t="s">
        <v>274</v>
      </c>
      <c r="G41" s="3"/>
      <c r="H41" s="3" t="s">
        <v>282</v>
      </c>
      <c r="I41" s="3" t="s">
        <v>279</v>
      </c>
      <c r="J41" s="3" t="s">
        <v>31</v>
      </c>
      <c r="K41" s="3" t="s">
        <v>81</v>
      </c>
      <c r="L41" s="3" t="s">
        <v>122</v>
      </c>
      <c r="M41" s="3" t="s">
        <v>31</v>
      </c>
      <c r="N41" s="3" t="s">
        <v>66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N1"/>
    <mergeCell ref="A2:N2"/>
  </mergeCells>
  <dataValidations count="4">
    <dataValidation type="list" sqref="F5:F41" xr:uid="{00000000-0002-0000-0300-000000000000}">
      <formula1>"Texte,Catégorie,Date,Nombre,Nombre/Ratio,Liste/Ratio,Liste/Catégorie,Catégorie/Texte,Booléen"</formula1>
    </dataValidation>
    <dataValidation type="list" sqref="J5:J41" xr:uid="{00000000-0002-0000-0300-000001000000}">
      <formula1>"N1,N2,N3,N4,À calibrer"</formula1>
    </dataValidation>
    <dataValidation type="list" sqref="K5:K41" xr:uid="{00000000-0002-0000-0300-000002000000}">
      <formula1>"Critique,Importante,Secondaire"</formula1>
    </dataValidation>
    <dataValidation type="list" sqref="N5:N41" xr:uid="{00000000-0002-0000-0300-000003000000}">
      <formula1>"Actif,À formaliser,À calibrer,Suspendu,Retiré"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8.88671875" defaultRowHeight="14.4"/>
  <cols>
    <col min="1" max="1" width="10" customWidth="1"/>
    <col min="2" max="2" width="18" customWidth="1"/>
    <col min="3" max="3" width="48" customWidth="1"/>
    <col min="4" max="4" width="15" customWidth="1"/>
    <col min="5" max="5" width="14" customWidth="1"/>
    <col min="6" max="6" width="46" customWidth="1"/>
    <col min="7" max="7" width="10" customWidth="1"/>
    <col min="8" max="8" width="30" customWidth="1"/>
  </cols>
  <sheetData>
    <row r="1" spans="1:26" ht="22.35" customHeight="1">
      <c r="A1" s="11" t="s">
        <v>291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292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293</v>
      </c>
      <c r="B4" s="2" t="s">
        <v>294</v>
      </c>
      <c r="C4" s="2" t="s">
        <v>295</v>
      </c>
      <c r="D4" s="2" t="s">
        <v>296</v>
      </c>
      <c r="E4" s="2" t="s">
        <v>26</v>
      </c>
      <c r="F4" s="2" t="s">
        <v>297</v>
      </c>
      <c r="G4" s="2" t="s">
        <v>27</v>
      </c>
      <c r="H4" s="2" t="s">
        <v>298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 t="s">
        <v>299</v>
      </c>
      <c r="B5" s="3" t="s">
        <v>300</v>
      </c>
      <c r="C5" s="3" t="s">
        <v>301</v>
      </c>
      <c r="D5" s="6">
        <v>25</v>
      </c>
      <c r="E5" s="3" t="s">
        <v>31</v>
      </c>
      <c r="F5" s="3" t="s">
        <v>302</v>
      </c>
      <c r="G5" s="3" t="s">
        <v>32</v>
      </c>
      <c r="H5" s="3" t="s">
        <v>303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304</v>
      </c>
      <c r="B6" s="3" t="s">
        <v>305</v>
      </c>
      <c r="C6" s="3" t="s">
        <v>306</v>
      </c>
      <c r="D6" s="6">
        <v>50</v>
      </c>
      <c r="E6" s="3" t="s">
        <v>31</v>
      </c>
      <c r="F6" s="3" t="s">
        <v>307</v>
      </c>
      <c r="G6" s="3" t="s">
        <v>32</v>
      </c>
      <c r="H6" s="3" t="s">
        <v>303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308</v>
      </c>
      <c r="B7" s="3" t="s">
        <v>309</v>
      </c>
      <c r="C7" s="3" t="s">
        <v>310</v>
      </c>
      <c r="D7" s="6">
        <v>75</v>
      </c>
      <c r="E7" s="3" t="s">
        <v>31</v>
      </c>
      <c r="F7" s="3" t="s">
        <v>311</v>
      </c>
      <c r="G7" s="3" t="s">
        <v>32</v>
      </c>
      <c r="H7" s="3" t="s">
        <v>303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>
      <c r="A8" s="3" t="s">
        <v>312</v>
      </c>
      <c r="B8" s="3" t="s">
        <v>313</v>
      </c>
      <c r="C8" s="3" t="s">
        <v>314</v>
      </c>
      <c r="D8" s="6">
        <v>100</v>
      </c>
      <c r="E8" s="3" t="s">
        <v>31</v>
      </c>
      <c r="F8" s="3" t="s">
        <v>315</v>
      </c>
      <c r="G8" s="3" t="s">
        <v>32</v>
      </c>
      <c r="H8" s="3" t="s">
        <v>303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baseColWidth="10" defaultColWidth="8.88671875" defaultRowHeight="14.4"/>
  <cols>
    <col min="1" max="1" width="10" customWidth="1"/>
    <col min="2" max="2" width="26" customWidth="1"/>
    <col min="3" max="3" width="14" customWidth="1"/>
    <col min="4" max="4" width="48" customWidth="1"/>
    <col min="5" max="5" width="12" customWidth="1"/>
    <col min="6" max="6" width="14" customWidth="1"/>
    <col min="7" max="7" width="10" customWidth="1"/>
  </cols>
  <sheetData>
    <row r="1" spans="1:26" ht="22.35" customHeight="1">
      <c r="A1" s="11" t="s">
        <v>316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317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318</v>
      </c>
      <c r="C4" s="2" t="s">
        <v>25</v>
      </c>
      <c r="D4" s="2" t="s">
        <v>319</v>
      </c>
      <c r="E4" s="2" t="s">
        <v>320</v>
      </c>
      <c r="F4" s="2" t="s">
        <v>26</v>
      </c>
      <c r="G4" s="2" t="s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321</v>
      </c>
      <c r="B5" s="3" t="s">
        <v>322</v>
      </c>
      <c r="C5" s="5">
        <v>0.4</v>
      </c>
      <c r="D5" s="3" t="s">
        <v>323</v>
      </c>
      <c r="E5" s="3" t="s">
        <v>324</v>
      </c>
      <c r="F5" s="3" t="s">
        <v>31</v>
      </c>
      <c r="G5" s="3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325</v>
      </c>
      <c r="B6" s="3" t="s">
        <v>326</v>
      </c>
      <c r="C6" s="5">
        <v>0.2</v>
      </c>
      <c r="D6" s="3" t="s">
        <v>327</v>
      </c>
      <c r="E6" s="3" t="s">
        <v>324</v>
      </c>
      <c r="F6" s="3" t="s">
        <v>31</v>
      </c>
      <c r="G6" s="3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328</v>
      </c>
      <c r="B7" s="3" t="s">
        <v>155</v>
      </c>
      <c r="C7" s="5">
        <v>0.15</v>
      </c>
      <c r="D7" s="3" t="s">
        <v>329</v>
      </c>
      <c r="E7" s="3" t="s">
        <v>324</v>
      </c>
      <c r="F7" s="3" t="s">
        <v>31</v>
      </c>
      <c r="G7" s="3" t="s">
        <v>32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330</v>
      </c>
      <c r="B8" s="3" t="s">
        <v>331</v>
      </c>
      <c r="C8" s="5">
        <v>0.15</v>
      </c>
      <c r="D8" s="3" t="s">
        <v>332</v>
      </c>
      <c r="E8" s="3" t="s">
        <v>324</v>
      </c>
      <c r="F8" s="3" t="s">
        <v>31</v>
      </c>
      <c r="G8" s="3" t="s">
        <v>32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333</v>
      </c>
      <c r="B9" s="3" t="s">
        <v>215</v>
      </c>
      <c r="C9" s="5">
        <v>0.1</v>
      </c>
      <c r="D9" s="3" t="s">
        <v>334</v>
      </c>
      <c r="E9" s="3" t="s">
        <v>324</v>
      </c>
      <c r="F9" s="3" t="s">
        <v>31</v>
      </c>
      <c r="G9" s="3" t="s">
        <v>32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48</v>
      </c>
      <c r="B10" s="3"/>
      <c r="C10" s="5">
        <f>SUM(C5:C9)</f>
        <v>1.0000000000000002</v>
      </c>
      <c r="D10" s="3"/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5" t="s">
        <v>335</v>
      </c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2" t="s">
        <v>318</v>
      </c>
      <c r="B13" s="2" t="s">
        <v>336</v>
      </c>
      <c r="C13" s="2" t="s">
        <v>337</v>
      </c>
      <c r="D13" s="2" t="s">
        <v>338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322</v>
      </c>
      <c r="B14" s="3">
        <v>80</v>
      </c>
      <c r="C14" s="5">
        <f>C5</f>
        <v>0.4</v>
      </c>
      <c r="D14" s="3">
        <f>B14*C14</f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339</v>
      </c>
      <c r="B15" s="3">
        <v>70</v>
      </c>
      <c r="C15" s="5">
        <f>C6</f>
        <v>0.2</v>
      </c>
      <c r="D15" s="3">
        <f>B15*C15</f>
        <v>14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155</v>
      </c>
      <c r="B16" s="3">
        <v>90</v>
      </c>
      <c r="C16" s="5">
        <f>C7</f>
        <v>0.15</v>
      </c>
      <c r="D16" s="3">
        <f>B16*C16</f>
        <v>13.5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331</v>
      </c>
      <c r="B17" s="3">
        <v>75</v>
      </c>
      <c r="C17" s="5">
        <f>C8</f>
        <v>0.15</v>
      </c>
      <c r="D17" s="3">
        <f>B17*C17</f>
        <v>11.25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215</v>
      </c>
      <c r="B18" s="3">
        <v>85</v>
      </c>
      <c r="C18" s="5">
        <f>C9</f>
        <v>0.1</v>
      </c>
      <c r="D18" s="3">
        <f>B18*C18</f>
        <v>8.5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340</v>
      </c>
      <c r="B19" s="7">
        <f>SUM(D14:D18)</f>
        <v>79.25</v>
      </c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">
    <mergeCell ref="A1:G1"/>
    <mergeCell ref="A2:G2"/>
    <mergeCell ref="A12:G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baseColWidth="10" defaultColWidth="8.88671875" defaultRowHeight="14.4"/>
  <cols>
    <col min="1" max="1" width="16" customWidth="1"/>
    <col min="2" max="2" width="24" customWidth="1"/>
    <col min="3" max="3" width="18" customWidth="1"/>
    <col min="4" max="6" width="20" customWidth="1"/>
    <col min="7" max="7" width="42" customWidth="1"/>
    <col min="8" max="8" width="14" customWidth="1"/>
    <col min="9" max="9" width="10" customWidth="1"/>
    <col min="10" max="10" width="30" customWidth="1"/>
    <col min="11" max="11" width="28" customWidth="1"/>
  </cols>
  <sheetData>
    <row r="1" spans="1:26" ht="22.35" customHeight="1">
      <c r="A1" s="11" t="s">
        <v>341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342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343</v>
      </c>
      <c r="B4" s="2" t="s">
        <v>344</v>
      </c>
      <c r="C4" s="2" t="s">
        <v>345</v>
      </c>
      <c r="D4" s="2" t="s">
        <v>346</v>
      </c>
      <c r="E4" s="2" t="s">
        <v>347</v>
      </c>
      <c r="F4" s="2" t="s">
        <v>348</v>
      </c>
      <c r="G4" s="2" t="s">
        <v>349</v>
      </c>
      <c r="H4" s="2" t="s">
        <v>26</v>
      </c>
      <c r="I4" s="2" t="s">
        <v>27</v>
      </c>
      <c r="J4" s="2" t="s">
        <v>350</v>
      </c>
      <c r="K4" s="2" t="s">
        <v>298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351</v>
      </c>
      <c r="B5" s="3" t="s">
        <v>352</v>
      </c>
      <c r="C5" s="3" t="s">
        <v>353</v>
      </c>
      <c r="D5" s="3" t="s">
        <v>354</v>
      </c>
      <c r="E5" s="3" t="s">
        <v>355</v>
      </c>
      <c r="F5" s="3"/>
      <c r="G5" s="3" t="s">
        <v>356</v>
      </c>
      <c r="H5" s="3" t="s">
        <v>31</v>
      </c>
      <c r="I5" s="3" t="s">
        <v>32</v>
      </c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357</v>
      </c>
      <c r="B6" s="3" t="s">
        <v>358</v>
      </c>
      <c r="C6" s="3" t="s">
        <v>353</v>
      </c>
      <c r="D6" s="3" t="s">
        <v>359</v>
      </c>
      <c r="E6" s="3" t="s">
        <v>360</v>
      </c>
      <c r="F6" s="3"/>
      <c r="G6" s="3" t="s">
        <v>361</v>
      </c>
      <c r="H6" s="3" t="s">
        <v>31</v>
      </c>
      <c r="I6" s="3" t="s">
        <v>32</v>
      </c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362</v>
      </c>
      <c r="B7" s="3" t="s">
        <v>363</v>
      </c>
      <c r="C7" s="3" t="s">
        <v>364</v>
      </c>
      <c r="D7" s="3" t="s">
        <v>365</v>
      </c>
      <c r="E7" s="3" t="s">
        <v>366</v>
      </c>
      <c r="F7" s="3" t="s">
        <v>367</v>
      </c>
      <c r="G7" s="3" t="s">
        <v>368</v>
      </c>
      <c r="H7" s="3" t="s">
        <v>31</v>
      </c>
      <c r="I7" s="3" t="s">
        <v>32</v>
      </c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369</v>
      </c>
      <c r="B8" s="3" t="s">
        <v>370</v>
      </c>
      <c r="C8" s="3" t="s">
        <v>353</v>
      </c>
      <c r="D8" s="3" t="s">
        <v>371</v>
      </c>
      <c r="E8" s="3" t="s">
        <v>372</v>
      </c>
      <c r="F8" s="3"/>
      <c r="G8" s="3" t="s">
        <v>373</v>
      </c>
      <c r="H8" s="3" t="s">
        <v>31</v>
      </c>
      <c r="I8" s="3" t="s">
        <v>32</v>
      </c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374</v>
      </c>
      <c r="B9" s="3" t="s">
        <v>370</v>
      </c>
      <c r="C9" s="3" t="s">
        <v>375</v>
      </c>
      <c r="D9" s="3" t="s">
        <v>371</v>
      </c>
      <c r="E9" s="3" t="s">
        <v>372</v>
      </c>
      <c r="F9" s="3"/>
      <c r="G9" s="3" t="s">
        <v>376</v>
      </c>
      <c r="H9" s="3" t="s">
        <v>31</v>
      </c>
      <c r="I9" s="3" t="s">
        <v>32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377</v>
      </c>
      <c r="B10" s="3" t="s">
        <v>378</v>
      </c>
      <c r="C10" s="3" t="s">
        <v>378</v>
      </c>
      <c r="D10" s="3" t="s">
        <v>379</v>
      </c>
      <c r="E10" s="3" t="s">
        <v>380</v>
      </c>
      <c r="F10" s="3" t="s">
        <v>381</v>
      </c>
      <c r="G10" s="3" t="s">
        <v>382</v>
      </c>
      <c r="H10" s="3" t="s">
        <v>31</v>
      </c>
      <c r="I10" s="3" t="s">
        <v>32</v>
      </c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383</v>
      </c>
      <c r="B11" s="3" t="s">
        <v>384</v>
      </c>
      <c r="C11" s="3" t="s">
        <v>385</v>
      </c>
      <c r="D11" s="3" t="s">
        <v>386</v>
      </c>
      <c r="E11" s="3" t="s">
        <v>387</v>
      </c>
      <c r="F11" s="3"/>
      <c r="G11" s="3" t="s">
        <v>388</v>
      </c>
      <c r="H11" s="3" t="s">
        <v>31</v>
      </c>
      <c r="I11" s="3" t="s">
        <v>32</v>
      </c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K1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8.88671875" defaultRowHeight="14.4"/>
  <cols>
    <col min="1" max="1" width="24" customWidth="1"/>
    <col min="2" max="2" width="38" customWidth="1"/>
    <col min="3" max="3" width="58" customWidth="1"/>
    <col min="4" max="5" width="16" customWidth="1"/>
    <col min="6" max="6" width="14" customWidth="1"/>
    <col min="7" max="7" width="18" customWidth="1"/>
    <col min="8" max="8" width="34" customWidth="1"/>
  </cols>
  <sheetData>
    <row r="1" spans="1:26" ht="22.35" customHeight="1">
      <c r="A1" s="11" t="s">
        <v>389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390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23</v>
      </c>
      <c r="C4" s="2" t="s">
        <v>391</v>
      </c>
      <c r="D4" s="2" t="s">
        <v>337</v>
      </c>
      <c r="E4" s="2" t="s">
        <v>338</v>
      </c>
      <c r="F4" s="2" t="s">
        <v>392</v>
      </c>
      <c r="G4" s="2" t="s">
        <v>26</v>
      </c>
      <c r="H4" s="2" t="s">
        <v>298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28</v>
      </c>
      <c r="B5" s="3" t="s">
        <v>29</v>
      </c>
      <c r="C5" s="3">
        <v>90</v>
      </c>
      <c r="D5" s="5">
        <f>'01_Dimensions'!D5</f>
        <v>0.15</v>
      </c>
      <c r="E5" s="8">
        <f t="shared" ref="E5:E10" si="0">C5*D5</f>
        <v>13.5</v>
      </c>
      <c r="F5" s="3" t="s">
        <v>393</v>
      </c>
      <c r="G5" s="3" t="s">
        <v>394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33</v>
      </c>
      <c r="B6" s="3" t="s">
        <v>34</v>
      </c>
      <c r="C6" s="3">
        <v>70</v>
      </c>
      <c r="D6" s="5">
        <f>'01_Dimensions'!D6</f>
        <v>0.2</v>
      </c>
      <c r="E6" s="8">
        <f t="shared" si="0"/>
        <v>14</v>
      </c>
      <c r="F6" s="3" t="s">
        <v>393</v>
      </c>
      <c r="G6" s="3" t="s">
        <v>394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36</v>
      </c>
      <c r="B7" s="3" t="s">
        <v>37</v>
      </c>
      <c r="C7" s="3">
        <v>80</v>
      </c>
      <c r="D7" s="5">
        <f>'01_Dimensions'!D7</f>
        <v>0.2</v>
      </c>
      <c r="E7" s="8">
        <f t="shared" si="0"/>
        <v>16</v>
      </c>
      <c r="F7" s="3" t="s">
        <v>393</v>
      </c>
      <c r="G7" s="3" t="s">
        <v>394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39</v>
      </c>
      <c r="B8" s="3" t="s">
        <v>40</v>
      </c>
      <c r="C8" s="3">
        <v>75</v>
      </c>
      <c r="D8" s="5">
        <f>'01_Dimensions'!D8</f>
        <v>0.2</v>
      </c>
      <c r="E8" s="8">
        <f t="shared" si="0"/>
        <v>15</v>
      </c>
      <c r="F8" s="3" t="s">
        <v>393</v>
      </c>
      <c r="G8" s="3" t="s">
        <v>394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42</v>
      </c>
      <c r="B9" s="3" t="s">
        <v>43</v>
      </c>
      <c r="C9" s="3">
        <v>65</v>
      </c>
      <c r="D9" s="5">
        <f>'01_Dimensions'!D9</f>
        <v>0.15</v>
      </c>
      <c r="E9" s="8">
        <f t="shared" si="0"/>
        <v>9.75</v>
      </c>
      <c r="F9" s="3" t="s">
        <v>393</v>
      </c>
      <c r="G9" s="3" t="s">
        <v>394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45</v>
      </c>
      <c r="B10" s="3" t="s">
        <v>46</v>
      </c>
      <c r="C10" s="3">
        <v>60</v>
      </c>
      <c r="D10" s="5">
        <f>'01_Dimensions'!D10</f>
        <v>0.1</v>
      </c>
      <c r="E10" s="8">
        <f t="shared" si="0"/>
        <v>6</v>
      </c>
      <c r="F10" s="3" t="s">
        <v>393</v>
      </c>
      <c r="G10" s="3" t="s">
        <v>394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48</v>
      </c>
      <c r="B11" s="3"/>
      <c r="C11" s="3"/>
      <c r="D11" s="5">
        <f>SUM(D5:D10)</f>
        <v>1</v>
      </c>
      <c r="E11" s="8">
        <f>SUM(E5:E10)</f>
        <v>74.25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395</v>
      </c>
      <c r="B12" s="3"/>
      <c r="C12" s="9">
        <f>ROUND(E11,0)</f>
        <v>74</v>
      </c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2" t="s">
        <v>396</v>
      </c>
      <c r="B15" s="2" t="s">
        <v>397</v>
      </c>
      <c r="C15" s="2" t="s">
        <v>398</v>
      </c>
      <c r="D15" s="2" t="s">
        <v>26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399</v>
      </c>
      <c r="B16" s="3" t="s">
        <v>400</v>
      </c>
      <c r="C16" s="3" t="s">
        <v>401</v>
      </c>
      <c r="D16" s="3" t="s">
        <v>402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403</v>
      </c>
      <c r="B17" s="3" t="s">
        <v>404</v>
      </c>
      <c r="C17" s="3" t="s">
        <v>405</v>
      </c>
      <c r="D17" s="3" t="s">
        <v>402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406</v>
      </c>
      <c r="B18" s="3" t="s">
        <v>407</v>
      </c>
      <c r="C18" s="3" t="s">
        <v>408</v>
      </c>
      <c r="D18" s="3" t="s">
        <v>402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409</v>
      </c>
      <c r="B19" s="3" t="s">
        <v>410</v>
      </c>
      <c r="C19" s="3" t="s">
        <v>411</v>
      </c>
      <c r="D19" s="3" t="s">
        <v>402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339</v>
      </c>
      <c r="B20" s="3" t="s">
        <v>412</v>
      </c>
      <c r="C20" s="3" t="s">
        <v>413</v>
      </c>
      <c r="D20" s="3" t="s">
        <v>402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 t="s">
        <v>414</v>
      </c>
      <c r="B21" s="3" t="s">
        <v>415</v>
      </c>
      <c r="C21" s="3" t="s">
        <v>31</v>
      </c>
      <c r="D21" s="3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baseColWidth="10" defaultColWidth="8.88671875" defaultRowHeight="14.4"/>
  <cols>
    <col min="1" max="1" width="16" customWidth="1"/>
    <col min="2" max="2" width="28" customWidth="1"/>
    <col min="3" max="3" width="34" customWidth="1"/>
    <col min="4" max="4" width="52" customWidth="1"/>
    <col min="5" max="5" width="18" customWidth="1"/>
    <col min="6" max="6" width="10" customWidth="1"/>
    <col min="7" max="7" width="14" customWidth="1"/>
    <col min="8" max="8" width="25" customWidth="1"/>
  </cols>
  <sheetData>
    <row r="1" spans="1:26" ht="22.35" customHeight="1">
      <c r="A1" s="11" t="s">
        <v>416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417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164</v>
      </c>
      <c r="B4" s="2" t="s">
        <v>418</v>
      </c>
      <c r="C4" s="2" t="s">
        <v>419</v>
      </c>
      <c r="D4" s="2" t="s">
        <v>420</v>
      </c>
      <c r="E4" s="2" t="s">
        <v>421</v>
      </c>
      <c r="F4" s="2" t="s">
        <v>27</v>
      </c>
      <c r="G4" s="2" t="s">
        <v>26</v>
      </c>
      <c r="H4" s="2" t="s">
        <v>298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422</v>
      </c>
      <c r="B5" s="3" t="s">
        <v>423</v>
      </c>
      <c r="C5" s="3" t="s">
        <v>394</v>
      </c>
      <c r="D5" s="3" t="s">
        <v>424</v>
      </c>
      <c r="E5" s="3" t="s">
        <v>425</v>
      </c>
      <c r="F5" s="3" t="s">
        <v>32</v>
      </c>
      <c r="G5" s="3" t="s">
        <v>426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422</v>
      </c>
      <c r="B6" s="3" t="s">
        <v>427</v>
      </c>
      <c r="C6" s="3" t="s">
        <v>403</v>
      </c>
      <c r="D6" s="3" t="s">
        <v>428</v>
      </c>
      <c r="E6" s="3" t="s">
        <v>425</v>
      </c>
      <c r="F6" s="3" t="s">
        <v>32</v>
      </c>
      <c r="G6" s="3" t="s">
        <v>426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422</v>
      </c>
      <c r="B7" s="3" t="s">
        <v>429</v>
      </c>
      <c r="C7" s="3" t="s">
        <v>430</v>
      </c>
      <c r="D7" s="3" t="s">
        <v>431</v>
      </c>
      <c r="E7" s="3" t="s">
        <v>425</v>
      </c>
      <c r="F7" s="3" t="s">
        <v>32</v>
      </c>
      <c r="G7" s="3" t="s">
        <v>426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422</v>
      </c>
      <c r="B8" s="3" t="s">
        <v>432</v>
      </c>
      <c r="C8" s="3" t="s">
        <v>433</v>
      </c>
      <c r="D8" s="3" t="s">
        <v>434</v>
      </c>
      <c r="E8" s="3" t="s">
        <v>425</v>
      </c>
      <c r="F8" s="3" t="s">
        <v>32</v>
      </c>
      <c r="G8" s="3" t="s">
        <v>426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422</v>
      </c>
      <c r="B9" s="3" t="s">
        <v>435</v>
      </c>
      <c r="C9" s="3" t="s">
        <v>436</v>
      </c>
      <c r="D9" s="3" t="s">
        <v>437</v>
      </c>
      <c r="E9" s="3" t="s">
        <v>425</v>
      </c>
      <c r="F9" s="3" t="s">
        <v>32</v>
      </c>
      <c r="G9" s="3" t="s">
        <v>426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422</v>
      </c>
      <c r="B10" s="3" t="s">
        <v>438</v>
      </c>
      <c r="C10" s="3" t="s">
        <v>439</v>
      </c>
      <c r="D10" s="3" t="s">
        <v>440</v>
      </c>
      <c r="E10" s="3" t="s">
        <v>425</v>
      </c>
      <c r="F10" s="3" t="s">
        <v>32</v>
      </c>
      <c r="G10" s="3" t="s">
        <v>426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422</v>
      </c>
      <c r="B11" s="3" t="s">
        <v>441</v>
      </c>
      <c r="C11" s="3" t="s">
        <v>442</v>
      </c>
      <c r="D11" s="3" t="s">
        <v>443</v>
      </c>
      <c r="E11" s="3" t="s">
        <v>425</v>
      </c>
      <c r="F11" s="3" t="s">
        <v>32</v>
      </c>
      <c r="G11" s="3" t="s">
        <v>426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422</v>
      </c>
      <c r="B12" s="3" t="s">
        <v>444</v>
      </c>
      <c r="C12" s="3" t="s">
        <v>445</v>
      </c>
      <c r="D12" s="3" t="s">
        <v>446</v>
      </c>
      <c r="E12" s="3" t="s">
        <v>425</v>
      </c>
      <c r="F12" s="3" t="s">
        <v>32</v>
      </c>
      <c r="G12" s="3" t="s">
        <v>426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205</v>
      </c>
      <c r="B13" s="3" t="s">
        <v>447</v>
      </c>
      <c r="C13" s="3" t="s">
        <v>448</v>
      </c>
      <c r="D13" s="3" t="s">
        <v>449</v>
      </c>
      <c r="E13" s="3" t="s">
        <v>393</v>
      </c>
      <c r="F13" s="3" t="s">
        <v>32</v>
      </c>
      <c r="G13" s="3" t="s">
        <v>426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205</v>
      </c>
      <c r="B14" s="3" t="s">
        <v>450</v>
      </c>
      <c r="C14" s="3" t="s">
        <v>445</v>
      </c>
      <c r="D14" s="3" t="s">
        <v>451</v>
      </c>
      <c r="E14" s="3" t="s">
        <v>393</v>
      </c>
      <c r="F14" s="3" t="s">
        <v>32</v>
      </c>
      <c r="G14" s="3" t="s">
        <v>426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205</v>
      </c>
      <c r="B15" s="3" t="s">
        <v>452</v>
      </c>
      <c r="C15" s="3" t="s">
        <v>453</v>
      </c>
      <c r="D15" s="3" t="s">
        <v>454</v>
      </c>
      <c r="E15" s="3" t="s">
        <v>393</v>
      </c>
      <c r="F15" s="3" t="s">
        <v>32</v>
      </c>
      <c r="G15" s="3" t="s">
        <v>426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205</v>
      </c>
      <c r="B16" s="3" t="s">
        <v>455</v>
      </c>
      <c r="C16" s="3" t="s">
        <v>456</v>
      </c>
      <c r="D16" s="3" t="s">
        <v>457</v>
      </c>
      <c r="E16" s="3" t="s">
        <v>393</v>
      </c>
      <c r="F16" s="3" t="s">
        <v>32</v>
      </c>
      <c r="G16" s="3" t="s">
        <v>426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205</v>
      </c>
      <c r="B17" s="3" t="s">
        <v>458</v>
      </c>
      <c r="C17" s="3" t="s">
        <v>459</v>
      </c>
      <c r="D17" s="3" t="s">
        <v>460</v>
      </c>
      <c r="E17" s="3" t="s">
        <v>393</v>
      </c>
      <c r="F17" s="3" t="s">
        <v>32</v>
      </c>
      <c r="G17" s="3" t="s">
        <v>426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205</v>
      </c>
      <c r="B18" s="3" t="s">
        <v>461</v>
      </c>
      <c r="C18" s="3" t="s">
        <v>462</v>
      </c>
      <c r="D18" s="3" t="s">
        <v>463</v>
      </c>
      <c r="E18" s="3" t="s">
        <v>393</v>
      </c>
      <c r="F18" s="3" t="s">
        <v>32</v>
      </c>
      <c r="G18" s="3" t="s">
        <v>426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205</v>
      </c>
      <c r="B19" s="3" t="s">
        <v>464</v>
      </c>
      <c r="C19" s="3" t="s">
        <v>465</v>
      </c>
      <c r="D19" s="3" t="s">
        <v>466</v>
      </c>
      <c r="E19" s="3" t="s">
        <v>393</v>
      </c>
      <c r="F19" s="3" t="s">
        <v>32</v>
      </c>
      <c r="G19" s="3" t="s">
        <v>426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205</v>
      </c>
      <c r="B20" s="3" t="s">
        <v>467</v>
      </c>
      <c r="C20" s="3" t="s">
        <v>468</v>
      </c>
      <c r="D20" s="3" t="s">
        <v>469</v>
      </c>
      <c r="E20" s="3" t="s">
        <v>393</v>
      </c>
      <c r="F20" s="3" t="s">
        <v>32</v>
      </c>
      <c r="G20" s="3" t="s">
        <v>426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8.88671875" defaultRowHeight="14.4"/>
  <cols>
    <col min="1" max="1" width="10" customWidth="1"/>
    <col min="2" max="2" width="52" customWidth="1"/>
    <col min="3" max="3" width="22" customWidth="1"/>
    <col min="4" max="4" width="16" customWidth="1"/>
    <col min="5" max="5" width="42" customWidth="1"/>
    <col min="6" max="6" width="30" customWidth="1"/>
    <col min="7" max="7" width="36" customWidth="1"/>
    <col min="8" max="8" width="14" customWidth="1"/>
    <col min="9" max="9" width="10" customWidth="1"/>
    <col min="10" max="10" width="32" customWidth="1"/>
  </cols>
  <sheetData>
    <row r="1" spans="1:26" ht="22.35" customHeight="1">
      <c r="A1" s="11" t="s">
        <v>470</v>
      </c>
      <c r="B1" s="12"/>
      <c r="C1" s="12"/>
      <c r="D1" s="12"/>
      <c r="E1" s="12"/>
      <c r="F1" s="1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471</v>
      </c>
      <c r="B2" s="14"/>
      <c r="C2" s="14"/>
      <c r="D2" s="14"/>
      <c r="E2" s="14"/>
      <c r="F2" s="14"/>
      <c r="G2" s="14"/>
      <c r="H2" s="14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472</v>
      </c>
      <c r="C4" s="2" t="s">
        <v>473</v>
      </c>
      <c r="D4" s="2" t="s">
        <v>474</v>
      </c>
      <c r="E4" s="2" t="s">
        <v>475</v>
      </c>
      <c r="F4" s="2" t="s">
        <v>476</v>
      </c>
      <c r="G4" s="2" t="s">
        <v>477</v>
      </c>
      <c r="H4" s="2" t="s">
        <v>59</v>
      </c>
      <c r="I4" s="2" t="s">
        <v>27</v>
      </c>
      <c r="J4" s="2" t="s">
        <v>298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478</v>
      </c>
      <c r="B5" s="3" t="s">
        <v>479</v>
      </c>
      <c r="C5" s="3" t="s">
        <v>480</v>
      </c>
      <c r="D5" s="3" t="s">
        <v>481</v>
      </c>
      <c r="E5" s="3" t="s">
        <v>482</v>
      </c>
      <c r="F5" s="3" t="s">
        <v>483</v>
      </c>
      <c r="G5" s="3" t="s">
        <v>484</v>
      </c>
      <c r="H5" s="3" t="s">
        <v>31</v>
      </c>
      <c r="I5" s="3" t="s">
        <v>32</v>
      </c>
      <c r="J5" s="3" t="s">
        <v>485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8">
      <c r="A6" s="3" t="s">
        <v>486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492</v>
      </c>
      <c r="H6" s="3" t="s">
        <v>426</v>
      </c>
      <c r="I6" s="3" t="s">
        <v>32</v>
      </c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>
      <c r="A7" s="3" t="s">
        <v>493</v>
      </c>
      <c r="B7" s="3" t="s">
        <v>494</v>
      </c>
      <c r="C7" s="3" t="s">
        <v>488</v>
      </c>
      <c r="D7" s="3" t="s">
        <v>495</v>
      </c>
      <c r="E7" s="3" t="s">
        <v>496</v>
      </c>
      <c r="F7" s="3" t="s">
        <v>497</v>
      </c>
      <c r="G7" s="3" t="s">
        <v>498</v>
      </c>
      <c r="H7" s="3" t="s">
        <v>426</v>
      </c>
      <c r="I7" s="3" t="s">
        <v>32</v>
      </c>
      <c r="J7" s="3" t="s">
        <v>499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500</v>
      </c>
      <c r="B8" s="3" t="s">
        <v>501</v>
      </c>
      <c r="C8" s="3" t="s">
        <v>480</v>
      </c>
      <c r="D8" s="3" t="s">
        <v>393</v>
      </c>
      <c r="E8" s="3" t="s">
        <v>502</v>
      </c>
      <c r="F8" s="3" t="s">
        <v>483</v>
      </c>
      <c r="G8" s="3" t="s">
        <v>503</v>
      </c>
      <c r="H8" s="3" t="s">
        <v>31</v>
      </c>
      <c r="I8" s="3" t="s">
        <v>32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8.88671875" defaultRowHeight="14.4"/>
  <cols>
    <col min="1" max="1" width="24" customWidth="1"/>
    <col min="2" max="2" width="42" customWidth="1"/>
    <col min="3" max="3" width="30" customWidth="1"/>
    <col min="4" max="4" width="18" customWidth="1"/>
    <col min="5" max="5" width="25" customWidth="1"/>
    <col min="6" max="7" width="28" customWidth="1"/>
    <col min="8" max="8" width="14" customWidth="1"/>
    <col min="9" max="9" width="10" customWidth="1"/>
  </cols>
  <sheetData>
    <row r="1" spans="1:26" ht="22.35" customHeight="1">
      <c r="A1" s="11" t="s">
        <v>504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505</v>
      </c>
      <c r="B2" s="14"/>
      <c r="C2" s="14"/>
      <c r="D2" s="14"/>
      <c r="E2" s="14"/>
      <c r="F2" s="14"/>
      <c r="G2" s="14"/>
      <c r="H2" s="14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293</v>
      </c>
      <c r="C4" s="2" t="s">
        <v>397</v>
      </c>
      <c r="D4" s="2" t="s">
        <v>506</v>
      </c>
      <c r="E4" s="2" t="s">
        <v>507</v>
      </c>
      <c r="F4" s="2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 t="s">
        <v>508</v>
      </c>
      <c r="B5" s="3" t="s">
        <v>509</v>
      </c>
      <c r="C5" s="3" t="s">
        <v>510</v>
      </c>
      <c r="D5" s="3" t="s">
        <v>511</v>
      </c>
      <c r="E5" s="3" t="s">
        <v>512</v>
      </c>
      <c r="F5" s="3" t="s">
        <v>32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8">
      <c r="A6" s="3" t="s">
        <v>513</v>
      </c>
      <c r="B6" s="3" t="s">
        <v>514</v>
      </c>
      <c r="C6" s="3" t="s">
        <v>515</v>
      </c>
      <c r="D6" s="3" t="s">
        <v>516</v>
      </c>
      <c r="E6" s="3" t="s">
        <v>517</v>
      </c>
      <c r="F6" s="3" t="s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>
      <c r="A7" s="3" t="s">
        <v>518</v>
      </c>
      <c r="B7" s="3" t="s">
        <v>67</v>
      </c>
      <c r="C7" s="3" t="s">
        <v>519</v>
      </c>
      <c r="D7" s="3" t="s">
        <v>520</v>
      </c>
      <c r="E7" s="3" t="s">
        <v>393</v>
      </c>
      <c r="F7" s="3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.6">
      <c r="A8" s="3" t="s">
        <v>521</v>
      </c>
      <c r="B8" s="3" t="s">
        <v>522</v>
      </c>
      <c r="C8" s="3" t="s">
        <v>523</v>
      </c>
      <c r="D8" s="3"/>
      <c r="E8" s="3"/>
      <c r="F8" s="3" t="s">
        <v>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2" t="s">
        <v>524</v>
      </c>
      <c r="B11" s="2" t="s">
        <v>525</v>
      </c>
      <c r="C11" s="2" t="s">
        <v>526</v>
      </c>
      <c r="D11" s="2" t="s">
        <v>215</v>
      </c>
      <c r="E11" s="2" t="s">
        <v>527</v>
      </c>
      <c r="F11" s="2" t="s">
        <v>528</v>
      </c>
      <c r="G11" s="2" t="s">
        <v>529</v>
      </c>
      <c r="H11" s="2" t="s">
        <v>26</v>
      </c>
      <c r="I11" s="2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507</v>
      </c>
      <c r="B12" s="3" t="s">
        <v>530</v>
      </c>
      <c r="C12" s="3" t="s">
        <v>531</v>
      </c>
      <c r="D12" s="3" t="s">
        <v>532</v>
      </c>
      <c r="E12" s="3" t="s">
        <v>533</v>
      </c>
      <c r="F12" s="3" t="s">
        <v>425</v>
      </c>
      <c r="G12" s="3" t="s">
        <v>393</v>
      </c>
      <c r="H12" s="3" t="s">
        <v>426</v>
      </c>
      <c r="I12" s="3" t="s">
        <v>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8">
      <c r="A13" s="3" t="s">
        <v>534</v>
      </c>
      <c r="B13" s="3" t="s">
        <v>535</v>
      </c>
      <c r="C13" s="3" t="s">
        <v>536</v>
      </c>
      <c r="D13" s="3" t="s">
        <v>532</v>
      </c>
      <c r="E13" s="3" t="s">
        <v>537</v>
      </c>
      <c r="F13" s="3" t="s">
        <v>425</v>
      </c>
      <c r="G13" s="3" t="s">
        <v>393</v>
      </c>
      <c r="H13" s="3" t="s">
        <v>426</v>
      </c>
      <c r="I13" s="3" t="s">
        <v>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538</v>
      </c>
      <c r="B14" s="3" t="s">
        <v>539</v>
      </c>
      <c r="C14" s="3" t="s">
        <v>540</v>
      </c>
      <c r="D14" s="3" t="s">
        <v>532</v>
      </c>
      <c r="E14" s="3" t="s">
        <v>541</v>
      </c>
      <c r="F14" s="3" t="s">
        <v>425</v>
      </c>
      <c r="G14" s="3" t="s">
        <v>542</v>
      </c>
      <c r="H14" s="3" t="s">
        <v>426</v>
      </c>
      <c r="I14" s="3" t="s">
        <v>32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8">
      <c r="A15" s="3" t="s">
        <v>543</v>
      </c>
      <c r="B15" s="3" t="s">
        <v>544</v>
      </c>
      <c r="C15" s="3" t="s">
        <v>545</v>
      </c>
      <c r="D15" s="3" t="s">
        <v>546</v>
      </c>
      <c r="E15" s="3" t="s">
        <v>547</v>
      </c>
      <c r="F15" s="3" t="s">
        <v>393</v>
      </c>
      <c r="G15" s="3" t="s">
        <v>548</v>
      </c>
      <c r="H15" s="3" t="s">
        <v>426</v>
      </c>
      <c r="I15" s="3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I1"/>
    <mergeCell ref="A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8.88671875" defaultRowHeight="14.4"/>
  <cols>
    <col min="1" max="1" width="36" customWidth="1"/>
    <col min="2" max="2" width="48" customWidth="1"/>
    <col min="3" max="3" width="18" customWidth="1"/>
    <col min="4" max="4" width="16" customWidth="1"/>
    <col min="5" max="5" width="14" customWidth="1"/>
    <col min="6" max="6" width="24" customWidth="1"/>
    <col min="7" max="7" width="14" customWidth="1"/>
    <col min="8" max="8" width="10" customWidth="1"/>
  </cols>
  <sheetData>
    <row r="1" spans="1:26" ht="22.35" customHeight="1">
      <c r="A1" s="11" t="s">
        <v>549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550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22</v>
      </c>
      <c r="B4" s="2" t="s">
        <v>294</v>
      </c>
      <c r="C4" s="2" t="s">
        <v>397</v>
      </c>
      <c r="D4" s="2" t="s">
        <v>551</v>
      </c>
      <c r="E4" s="2" t="s">
        <v>152</v>
      </c>
      <c r="F4" s="2" t="s">
        <v>552</v>
      </c>
      <c r="G4" s="2" t="s">
        <v>26</v>
      </c>
      <c r="H4" s="2" t="s">
        <v>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200000000000003">
      <c r="A5" s="3" t="s">
        <v>553</v>
      </c>
      <c r="B5" s="3" t="s">
        <v>554</v>
      </c>
      <c r="C5" s="3" t="s">
        <v>555</v>
      </c>
      <c r="D5" s="3"/>
      <c r="E5" s="3" t="s">
        <v>556</v>
      </c>
      <c r="F5" s="3" t="s">
        <v>393</v>
      </c>
      <c r="G5" s="3" t="s">
        <v>31</v>
      </c>
      <c r="H5" s="3" t="s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200000000000003">
      <c r="A6" s="3" t="s">
        <v>557</v>
      </c>
      <c r="B6" s="3" t="s">
        <v>558</v>
      </c>
      <c r="C6" s="3" t="s">
        <v>559</v>
      </c>
      <c r="D6" s="3"/>
      <c r="E6" s="3" t="s">
        <v>556</v>
      </c>
      <c r="F6" s="3" t="s">
        <v>393</v>
      </c>
      <c r="G6" s="3" t="s">
        <v>31</v>
      </c>
      <c r="H6" s="3" t="s">
        <v>32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200000000000003">
      <c r="A7" s="3" t="s">
        <v>560</v>
      </c>
      <c r="B7" s="3" t="s">
        <v>561</v>
      </c>
      <c r="C7" s="3" t="s">
        <v>562</v>
      </c>
      <c r="D7" s="3"/>
      <c r="E7" s="3" t="s">
        <v>556</v>
      </c>
      <c r="F7" s="3" t="s">
        <v>393</v>
      </c>
      <c r="G7" s="3" t="s">
        <v>31</v>
      </c>
      <c r="H7" s="3" t="s">
        <v>32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2" t="s">
        <v>563</v>
      </c>
      <c r="B10" s="2" t="s">
        <v>564</v>
      </c>
      <c r="C10" s="2" t="s">
        <v>565</v>
      </c>
      <c r="D10" s="2" t="s">
        <v>26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8">
      <c r="A11" s="3" t="s">
        <v>566</v>
      </c>
      <c r="B11" s="3" t="s">
        <v>567</v>
      </c>
      <c r="C11" s="3" t="s">
        <v>568</v>
      </c>
      <c r="D11" s="3" t="s">
        <v>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569</v>
      </c>
      <c r="B12" s="3" t="s">
        <v>567</v>
      </c>
      <c r="C12" s="3" t="s">
        <v>570</v>
      </c>
      <c r="D12" s="3" t="s">
        <v>66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8">
      <c r="A13" s="3" t="s">
        <v>571</v>
      </c>
      <c r="B13" s="3" t="s">
        <v>572</v>
      </c>
      <c r="C13" s="3" t="s">
        <v>573</v>
      </c>
      <c r="D13" s="3" t="s">
        <v>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574</v>
      </c>
      <c r="B14" s="3" t="s">
        <v>575</v>
      </c>
      <c r="C14" s="3" t="s">
        <v>570</v>
      </c>
      <c r="D14" s="3" t="s">
        <v>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576</v>
      </c>
      <c r="B15" s="3" t="s">
        <v>577</v>
      </c>
      <c r="C15" s="3" t="s">
        <v>570</v>
      </c>
      <c r="D15" s="3" t="s">
        <v>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578</v>
      </c>
      <c r="B16" s="3" t="s">
        <v>579</v>
      </c>
      <c r="C16" s="3" t="s">
        <v>570</v>
      </c>
      <c r="D16" s="3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580</v>
      </c>
      <c r="B17" s="3" t="s">
        <v>581</v>
      </c>
      <c r="C17" s="3" t="s">
        <v>570</v>
      </c>
      <c r="D17" s="3" t="s">
        <v>66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582</v>
      </c>
      <c r="B18" s="3" t="s">
        <v>583</v>
      </c>
      <c r="C18" s="3" t="s">
        <v>393</v>
      </c>
      <c r="D18" s="3" t="s">
        <v>66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workbookViewId="0"/>
  </sheetViews>
  <sheetFormatPr baseColWidth="10" defaultColWidth="8.88671875" defaultRowHeight="14.4"/>
  <cols>
    <col min="1" max="1" width="24" customWidth="1"/>
    <col min="2" max="2" width="44" customWidth="1"/>
    <col min="3" max="3" width="38" customWidth="1"/>
    <col min="4" max="4" width="24" customWidth="1"/>
    <col min="5" max="5" width="16" customWidth="1"/>
    <col min="6" max="6" width="34" customWidth="1"/>
    <col min="7" max="7" width="18" customWidth="1"/>
    <col min="8" max="8" width="22" customWidth="1"/>
  </cols>
  <sheetData>
    <row r="1" spans="1:26" ht="22.35" customHeight="1">
      <c r="A1" s="11" t="s">
        <v>584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585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27</v>
      </c>
      <c r="B4" s="2" t="s">
        <v>586</v>
      </c>
      <c r="C4" s="2" t="s">
        <v>587</v>
      </c>
      <c r="D4" s="2" t="s">
        <v>293</v>
      </c>
      <c r="E4" s="2" t="s">
        <v>588</v>
      </c>
      <c r="F4" s="2" t="s">
        <v>589</v>
      </c>
      <c r="G4" s="2" t="s">
        <v>590</v>
      </c>
      <c r="H4" s="2" t="s">
        <v>591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 t="s">
        <v>32</v>
      </c>
      <c r="B5" s="4"/>
      <c r="C5" s="4"/>
      <c r="D5" s="3" t="s">
        <v>592</v>
      </c>
      <c r="E5" s="3" t="s">
        <v>593</v>
      </c>
      <c r="F5" s="3" t="s">
        <v>594</v>
      </c>
      <c r="G5" s="3" t="s">
        <v>425</v>
      </c>
      <c r="H5" s="3" t="s">
        <v>595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596</v>
      </c>
      <c r="B6" s="4"/>
      <c r="C6" s="4"/>
      <c r="D6" s="3" t="s">
        <v>509</v>
      </c>
      <c r="E6" s="3" t="s">
        <v>597</v>
      </c>
      <c r="F6" s="3"/>
      <c r="G6" s="3" t="s">
        <v>425</v>
      </c>
      <c r="H6" s="3" t="s">
        <v>595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598</v>
      </c>
      <c r="B7" s="4"/>
      <c r="C7" s="4"/>
      <c r="D7" s="3" t="s">
        <v>599</v>
      </c>
      <c r="E7" s="3" t="s">
        <v>597</v>
      </c>
      <c r="F7" s="3"/>
      <c r="G7" s="3" t="s">
        <v>425</v>
      </c>
      <c r="H7" s="3" t="s">
        <v>595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2" t="s">
        <v>600</v>
      </c>
      <c r="B10" s="2" t="s">
        <v>397</v>
      </c>
      <c r="C10" s="2" t="s">
        <v>601</v>
      </c>
      <c r="D10" s="2" t="s">
        <v>602</v>
      </c>
      <c r="E10" s="2" t="s">
        <v>603</v>
      </c>
      <c r="F10" s="2" t="s">
        <v>604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605</v>
      </c>
      <c r="B11" s="3" t="s">
        <v>606</v>
      </c>
      <c r="C11" s="3" t="s">
        <v>607</v>
      </c>
      <c r="D11" s="3" t="s">
        <v>608</v>
      </c>
      <c r="E11" s="3" t="s">
        <v>609</v>
      </c>
      <c r="F11" s="3" t="s">
        <v>483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610</v>
      </c>
      <c r="B12" s="3" t="s">
        <v>611</v>
      </c>
      <c r="C12" s="3" t="s">
        <v>612</v>
      </c>
      <c r="D12" s="3" t="s">
        <v>393</v>
      </c>
      <c r="E12" s="3" t="s">
        <v>393</v>
      </c>
      <c r="F12" s="3" t="s">
        <v>613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614</v>
      </c>
      <c r="B13" s="3" t="s">
        <v>615</v>
      </c>
      <c r="C13" s="3" t="s">
        <v>616</v>
      </c>
      <c r="D13" s="3" t="s">
        <v>617</v>
      </c>
      <c r="E13" s="3" t="s">
        <v>393</v>
      </c>
      <c r="F13" s="3" t="s">
        <v>545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618</v>
      </c>
      <c r="B14" s="3" t="s">
        <v>619</v>
      </c>
      <c r="C14" s="3" t="s">
        <v>620</v>
      </c>
      <c r="D14" s="3" t="s">
        <v>425</v>
      </c>
      <c r="E14" s="3" t="s">
        <v>425</v>
      </c>
      <c r="F14" s="3" t="s">
        <v>621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00"/>
  <sheetViews>
    <sheetView workbookViewId="0"/>
  </sheetViews>
  <sheetFormatPr baseColWidth="10" defaultColWidth="8.88671875" defaultRowHeight="14.4"/>
  <cols>
    <col min="1" max="1" width="12" customWidth="1"/>
    <col min="2" max="2" width="48" customWidth="1"/>
    <col min="3" max="3" width="22" customWidth="1"/>
    <col min="4" max="4" width="42" customWidth="1"/>
    <col min="5" max="5" width="36" customWidth="1"/>
    <col min="6" max="6" width="22" customWidth="1"/>
    <col min="7" max="7" width="16" customWidth="1"/>
  </cols>
  <sheetData>
    <row r="1" spans="1:26" ht="22.35" customHeight="1">
      <c r="A1" s="11" t="s">
        <v>622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623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624</v>
      </c>
      <c r="B4" s="2" t="s">
        <v>625</v>
      </c>
      <c r="C4" s="2" t="s">
        <v>293</v>
      </c>
      <c r="D4" s="2" t="s">
        <v>626</v>
      </c>
      <c r="E4" s="2" t="s">
        <v>627</v>
      </c>
      <c r="F4" s="2" t="s">
        <v>628</v>
      </c>
      <c r="G4" s="2" t="s">
        <v>26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629</v>
      </c>
      <c r="B5" s="3" t="s">
        <v>630</v>
      </c>
      <c r="C5" s="3" t="s">
        <v>631</v>
      </c>
      <c r="D5" s="3" t="s">
        <v>632</v>
      </c>
      <c r="E5" s="3" t="s">
        <v>633</v>
      </c>
      <c r="F5" s="3" t="s">
        <v>393</v>
      </c>
      <c r="G5" s="3" t="s">
        <v>634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635</v>
      </c>
      <c r="B6" s="3" t="s">
        <v>636</v>
      </c>
      <c r="C6" s="3" t="s">
        <v>51</v>
      </c>
      <c r="D6" s="3" t="s">
        <v>637</v>
      </c>
      <c r="E6" s="3" t="s">
        <v>638</v>
      </c>
      <c r="F6" s="3" t="s">
        <v>393</v>
      </c>
      <c r="G6" s="3" t="s">
        <v>634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639</v>
      </c>
      <c r="B7" s="3" t="s">
        <v>640</v>
      </c>
      <c r="C7" s="3" t="s">
        <v>51</v>
      </c>
      <c r="D7" s="3" t="s">
        <v>641</v>
      </c>
      <c r="E7" s="3" t="s">
        <v>642</v>
      </c>
      <c r="F7" s="3" t="s">
        <v>393</v>
      </c>
      <c r="G7" s="3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643</v>
      </c>
      <c r="B8" s="3" t="s">
        <v>644</v>
      </c>
      <c r="C8" s="3" t="s">
        <v>645</v>
      </c>
      <c r="D8" s="3" t="s">
        <v>646</v>
      </c>
      <c r="E8" s="3" t="s">
        <v>647</v>
      </c>
      <c r="F8" s="3" t="s">
        <v>393</v>
      </c>
      <c r="G8" s="3" t="s">
        <v>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648</v>
      </c>
      <c r="B9" s="3" t="s">
        <v>649</v>
      </c>
      <c r="C9" s="3" t="s">
        <v>650</v>
      </c>
      <c r="D9" s="3" t="s">
        <v>651</v>
      </c>
      <c r="E9" s="3" t="s">
        <v>652</v>
      </c>
      <c r="F9" s="3" t="s">
        <v>393</v>
      </c>
      <c r="G9" s="3" t="s">
        <v>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653</v>
      </c>
      <c r="B10" s="3" t="s">
        <v>654</v>
      </c>
      <c r="C10" s="3" t="s">
        <v>655</v>
      </c>
      <c r="D10" s="3" t="s">
        <v>656</v>
      </c>
      <c r="E10" s="3" t="s">
        <v>657</v>
      </c>
      <c r="F10" s="3" t="s">
        <v>393</v>
      </c>
      <c r="G10" s="3" t="s">
        <v>31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658</v>
      </c>
      <c r="B11" s="3" t="s">
        <v>659</v>
      </c>
      <c r="C11" s="3" t="s">
        <v>660</v>
      </c>
      <c r="D11" s="3" t="s">
        <v>661</v>
      </c>
      <c r="E11" s="3" t="s">
        <v>662</v>
      </c>
      <c r="F11" s="3" t="s">
        <v>663</v>
      </c>
      <c r="G11" s="3" t="s">
        <v>31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664</v>
      </c>
      <c r="B12" s="3" t="s">
        <v>665</v>
      </c>
      <c r="C12" s="3" t="s">
        <v>666</v>
      </c>
      <c r="D12" s="3" t="s">
        <v>667</v>
      </c>
      <c r="E12" s="3" t="s">
        <v>668</v>
      </c>
      <c r="F12" s="3" t="s">
        <v>393</v>
      </c>
      <c r="G12" s="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669</v>
      </c>
      <c r="B13" s="3" t="s">
        <v>670</v>
      </c>
      <c r="C13" s="3" t="s">
        <v>671</v>
      </c>
      <c r="D13" s="3" t="s">
        <v>672</v>
      </c>
      <c r="E13" s="3" t="s">
        <v>673</v>
      </c>
      <c r="F13" s="3" t="s">
        <v>674</v>
      </c>
      <c r="G13" s="3" t="s">
        <v>675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676</v>
      </c>
      <c r="B14" s="3" t="s">
        <v>677</v>
      </c>
      <c r="C14" s="3" t="s">
        <v>678</v>
      </c>
      <c r="D14" s="3" t="s">
        <v>679</v>
      </c>
      <c r="E14" s="3" t="s">
        <v>680</v>
      </c>
      <c r="F14" s="3" t="s">
        <v>681</v>
      </c>
      <c r="G14" s="3" t="s">
        <v>595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G1"/>
    <mergeCell ref="A2:G2"/>
  </mergeCells>
  <conditionalFormatting sqref="G5:G14">
    <cfRule type="expression" dxfId="2" priority="1">
      <formula>$G5="Validé"</formula>
    </cfRule>
    <cfRule type="expression" dxfId="1" priority="2">
      <formula>OR($G5="À calibrer",$G5="À finaliser")</formula>
    </cfRule>
  </conditionalFormatting>
  <dataValidations count="1">
    <dataValidation type="list" sqref="G5:G14" xr:uid="{00000000-0002-0000-0D00-000000000000}">
      <formula1>"À finaliser,À calibrer,À tester,À définir,Validé"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00"/>
  <sheetViews>
    <sheetView workbookViewId="0"/>
  </sheetViews>
  <sheetFormatPr baseColWidth="10" defaultColWidth="8.88671875" defaultRowHeight="14.4"/>
  <cols>
    <col min="1" max="1" width="34" customWidth="1"/>
    <col min="2" max="2" width="58" customWidth="1"/>
    <col min="3" max="3" width="24" customWidth="1"/>
    <col min="4" max="4" width="16" customWidth="1"/>
    <col min="5" max="5" width="10" customWidth="1"/>
    <col min="6" max="6" width="16" customWidth="1"/>
  </cols>
  <sheetData>
    <row r="1" spans="1:26" ht="22.35" customHeight="1">
      <c r="A1" s="11" t="s">
        <v>682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683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684</v>
      </c>
      <c r="B4" s="2" t="s">
        <v>589</v>
      </c>
      <c r="C4" s="2" t="s">
        <v>685</v>
      </c>
      <c r="D4" s="2" t="s">
        <v>53</v>
      </c>
      <c r="E4" s="2" t="s">
        <v>27</v>
      </c>
      <c r="F4" s="2" t="s">
        <v>26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686</v>
      </c>
      <c r="B5" s="3" t="s">
        <v>687</v>
      </c>
      <c r="C5" s="3">
        <v>0</v>
      </c>
      <c r="D5" s="3" t="s">
        <v>688</v>
      </c>
      <c r="E5" s="3" t="s">
        <v>32</v>
      </c>
      <c r="F5" s="3" t="s">
        <v>689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690</v>
      </c>
      <c r="B6" s="3" t="s">
        <v>691</v>
      </c>
      <c r="C6" s="3">
        <v>100</v>
      </c>
      <c r="D6" s="3" t="s">
        <v>688</v>
      </c>
      <c r="E6" s="3" t="s">
        <v>32</v>
      </c>
      <c r="F6" s="3" t="s">
        <v>689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692</v>
      </c>
      <c r="B7" s="3" t="s">
        <v>693</v>
      </c>
      <c r="C7" s="3" t="s">
        <v>694</v>
      </c>
      <c r="D7" s="3" t="s">
        <v>695</v>
      </c>
      <c r="E7" s="3" t="s">
        <v>32</v>
      </c>
      <c r="F7" s="3" t="s">
        <v>689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696</v>
      </c>
      <c r="B8" s="3" t="s">
        <v>697</v>
      </c>
      <c r="C8" s="3" t="s">
        <v>698</v>
      </c>
      <c r="D8" s="3" t="s">
        <v>699</v>
      </c>
      <c r="E8" s="3" t="s">
        <v>32</v>
      </c>
      <c r="F8" s="3" t="s">
        <v>689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700</v>
      </c>
      <c r="B9" s="3" t="s">
        <v>701</v>
      </c>
      <c r="C9" s="3">
        <v>0</v>
      </c>
      <c r="D9" s="3" t="s">
        <v>688</v>
      </c>
      <c r="E9" s="3" t="s">
        <v>32</v>
      </c>
      <c r="F9" s="3" t="s">
        <v>689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702</v>
      </c>
      <c r="B10" s="3" t="s">
        <v>703</v>
      </c>
      <c r="C10" s="3">
        <v>100</v>
      </c>
      <c r="D10" s="3" t="s">
        <v>688</v>
      </c>
      <c r="E10" s="3" t="s">
        <v>32</v>
      </c>
      <c r="F10" s="3" t="s">
        <v>689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704</v>
      </c>
      <c r="B11" s="3" t="s">
        <v>705</v>
      </c>
      <c r="C11" s="3"/>
      <c r="D11" s="3" t="s">
        <v>706</v>
      </c>
      <c r="E11" s="3" t="s">
        <v>32</v>
      </c>
      <c r="F11" s="3" t="s">
        <v>31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707</v>
      </c>
      <c r="B12" s="3" t="s">
        <v>708</v>
      </c>
      <c r="C12" s="3"/>
      <c r="D12" s="3" t="s">
        <v>706</v>
      </c>
      <c r="E12" s="3" t="s">
        <v>32</v>
      </c>
      <c r="F12" s="3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709</v>
      </c>
      <c r="B13" s="3" t="s">
        <v>710</v>
      </c>
      <c r="C13" s="10" t="b">
        <v>0</v>
      </c>
      <c r="D13" s="3" t="s">
        <v>711</v>
      </c>
      <c r="E13" s="3" t="s">
        <v>32</v>
      </c>
      <c r="F13" s="3" t="s">
        <v>689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712</v>
      </c>
      <c r="B14" s="3" t="s">
        <v>713</v>
      </c>
      <c r="C14" s="10" t="b">
        <v>1</v>
      </c>
      <c r="D14" s="3" t="s">
        <v>711</v>
      </c>
      <c r="E14" s="3" t="s">
        <v>32</v>
      </c>
      <c r="F14" s="3" t="s">
        <v>689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714</v>
      </c>
      <c r="B15" s="3" t="s">
        <v>715</v>
      </c>
      <c r="C15" s="10" t="b">
        <v>0</v>
      </c>
      <c r="D15" s="3" t="s">
        <v>711</v>
      </c>
      <c r="E15" s="3" t="s">
        <v>32</v>
      </c>
      <c r="F15" s="3" t="s">
        <v>689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716</v>
      </c>
      <c r="B16" s="3" t="s">
        <v>717</v>
      </c>
      <c r="C16" s="10" t="b">
        <v>1</v>
      </c>
      <c r="D16" s="3" t="s">
        <v>711</v>
      </c>
      <c r="E16" s="3" t="s">
        <v>32</v>
      </c>
      <c r="F16" s="3" t="s">
        <v>689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718</v>
      </c>
      <c r="B17" s="3" t="s">
        <v>719</v>
      </c>
      <c r="C17" s="10" t="b">
        <v>0</v>
      </c>
      <c r="D17" s="3" t="s">
        <v>711</v>
      </c>
      <c r="E17" s="3" t="s">
        <v>32</v>
      </c>
      <c r="F17" s="3" t="s">
        <v>689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720</v>
      </c>
      <c r="B18" s="3" t="s">
        <v>721</v>
      </c>
      <c r="C18" s="10" t="b">
        <v>0</v>
      </c>
      <c r="D18" s="3" t="s">
        <v>711</v>
      </c>
      <c r="E18" s="3" t="s">
        <v>32</v>
      </c>
      <c r="F18" s="3" t="s">
        <v>689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722</v>
      </c>
      <c r="B19" s="3" t="s">
        <v>723</v>
      </c>
      <c r="C19" s="10" t="b">
        <v>0</v>
      </c>
      <c r="D19" s="3" t="s">
        <v>711</v>
      </c>
      <c r="E19" s="3" t="s">
        <v>32</v>
      </c>
      <c r="F19" s="3" t="s">
        <v>689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F1"/>
    <mergeCell ref="A2:F2"/>
  </mergeCells>
  <conditionalFormatting sqref="F5:F19">
    <cfRule type="expression" dxfId="0" priority="1">
      <formula>$F5="À calibrer"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0"/>
  <sheetViews>
    <sheetView workbookViewId="0"/>
  </sheetViews>
  <sheetFormatPr baseColWidth="10" defaultColWidth="8.88671875" defaultRowHeight="14.4"/>
  <cols>
    <col min="1" max="1" width="26" customWidth="1"/>
    <col min="2" max="2" width="34" customWidth="1"/>
    <col min="3" max="3" width="20" customWidth="1"/>
    <col min="4" max="4" width="16" customWidth="1"/>
    <col min="5" max="5" width="28" customWidth="1"/>
    <col min="6" max="6" width="26" customWidth="1"/>
    <col min="7" max="7" width="10" customWidth="1"/>
    <col min="8" max="8" width="34" customWidth="1"/>
  </cols>
  <sheetData>
    <row r="1" spans="1:26" ht="22.35" customHeight="1">
      <c r="A1" s="11" t="s">
        <v>724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65" customHeight="1">
      <c r="A2" s="13" t="s">
        <v>725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" t="s">
        <v>726</v>
      </c>
      <c r="B4" s="2" t="s">
        <v>294</v>
      </c>
      <c r="C4" s="2" t="s">
        <v>53</v>
      </c>
      <c r="D4" s="2" t="s">
        <v>532</v>
      </c>
      <c r="E4" s="2" t="s">
        <v>727</v>
      </c>
      <c r="F4" s="2" t="s">
        <v>601</v>
      </c>
      <c r="G4" s="2" t="s">
        <v>27</v>
      </c>
      <c r="H4" s="2" t="s">
        <v>298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728</v>
      </c>
      <c r="B5" s="3" t="s">
        <v>729</v>
      </c>
      <c r="C5" s="3" t="s">
        <v>695</v>
      </c>
      <c r="D5" s="3" t="s">
        <v>393</v>
      </c>
      <c r="E5" s="3" t="s">
        <v>730</v>
      </c>
      <c r="F5" s="3" t="s">
        <v>731</v>
      </c>
      <c r="G5" s="3" t="s">
        <v>32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732</v>
      </c>
      <c r="B6" s="3" t="s">
        <v>733</v>
      </c>
      <c r="C6" s="3" t="s">
        <v>695</v>
      </c>
      <c r="D6" s="3" t="s">
        <v>393</v>
      </c>
      <c r="E6" s="3" t="s">
        <v>730</v>
      </c>
      <c r="F6" s="3" t="s">
        <v>734</v>
      </c>
      <c r="G6" s="3" t="s">
        <v>32</v>
      </c>
      <c r="H6" s="3" t="s">
        <v>735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736</v>
      </c>
      <c r="B7" s="3" t="s">
        <v>737</v>
      </c>
      <c r="C7" s="3" t="s">
        <v>695</v>
      </c>
      <c r="D7" s="3" t="s">
        <v>393</v>
      </c>
      <c r="E7" s="3" t="s">
        <v>730</v>
      </c>
      <c r="F7" s="3" t="s">
        <v>32</v>
      </c>
      <c r="G7" s="3" t="s">
        <v>32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738</v>
      </c>
      <c r="B8" s="3" t="s">
        <v>739</v>
      </c>
      <c r="C8" s="3" t="s">
        <v>190</v>
      </c>
      <c r="D8" s="3" t="s">
        <v>393</v>
      </c>
      <c r="E8" s="3" t="s">
        <v>730</v>
      </c>
      <c r="F8" s="3" t="s">
        <v>740</v>
      </c>
      <c r="G8" s="3" t="s">
        <v>32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741</v>
      </c>
      <c r="B9" s="3" t="s">
        <v>742</v>
      </c>
      <c r="C9" s="3" t="s">
        <v>743</v>
      </c>
      <c r="D9" s="3" t="s">
        <v>393</v>
      </c>
      <c r="E9" s="3" t="s">
        <v>730</v>
      </c>
      <c r="F9" s="3" t="s">
        <v>744</v>
      </c>
      <c r="G9" s="3" t="s">
        <v>32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745</v>
      </c>
      <c r="B10" s="3" t="s">
        <v>746</v>
      </c>
      <c r="C10" s="3" t="s">
        <v>699</v>
      </c>
      <c r="D10" s="3" t="s">
        <v>393</v>
      </c>
      <c r="E10" s="3" t="s">
        <v>730</v>
      </c>
      <c r="F10" s="3" t="s">
        <v>464</v>
      </c>
      <c r="G10" s="3" t="s">
        <v>32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747</v>
      </c>
      <c r="B11" s="3" t="s">
        <v>748</v>
      </c>
      <c r="C11" s="3" t="s">
        <v>749</v>
      </c>
      <c r="D11" s="3" t="s">
        <v>750</v>
      </c>
      <c r="E11" s="3" t="s">
        <v>751</v>
      </c>
      <c r="F11" s="3" t="s">
        <v>752</v>
      </c>
      <c r="G11" s="3" t="s">
        <v>32</v>
      </c>
      <c r="H11" s="3" t="s">
        <v>753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754</v>
      </c>
      <c r="B12" s="3" t="s">
        <v>755</v>
      </c>
      <c r="C12" s="3" t="s">
        <v>756</v>
      </c>
      <c r="D12" s="3" t="s">
        <v>757</v>
      </c>
      <c r="E12" s="3" t="s">
        <v>758</v>
      </c>
      <c r="F12" s="3" t="s">
        <v>759</v>
      </c>
      <c r="G12" s="3" t="s">
        <v>32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760</v>
      </c>
      <c r="B13" s="3" t="s">
        <v>761</v>
      </c>
      <c r="C13" s="3" t="s">
        <v>706</v>
      </c>
      <c r="D13" s="3" t="s">
        <v>393</v>
      </c>
      <c r="E13" s="3" t="s">
        <v>762</v>
      </c>
      <c r="F13" s="3" t="s">
        <v>763</v>
      </c>
      <c r="G13" s="3" t="s">
        <v>32</v>
      </c>
      <c r="H13" s="3" t="s">
        <v>764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765</v>
      </c>
      <c r="B14" s="3" t="s">
        <v>766</v>
      </c>
      <c r="C14" s="3" t="s">
        <v>706</v>
      </c>
      <c r="D14" s="3" t="s">
        <v>393</v>
      </c>
      <c r="E14" s="3" t="s">
        <v>762</v>
      </c>
      <c r="F14" s="3" t="s">
        <v>767</v>
      </c>
      <c r="G14" s="3" t="s">
        <v>32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768</v>
      </c>
      <c r="B15" s="3" t="s">
        <v>769</v>
      </c>
      <c r="C15" s="3" t="s">
        <v>699</v>
      </c>
      <c r="D15" s="3" t="s">
        <v>393</v>
      </c>
      <c r="E15" s="3" t="s">
        <v>730</v>
      </c>
      <c r="F15" s="3" t="s">
        <v>553</v>
      </c>
      <c r="G15" s="3" t="s">
        <v>32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770</v>
      </c>
      <c r="B16" s="3" t="s">
        <v>771</v>
      </c>
      <c r="C16" s="3" t="s">
        <v>772</v>
      </c>
      <c r="D16" s="3" t="s">
        <v>393</v>
      </c>
      <c r="E16" s="3" t="s">
        <v>773</v>
      </c>
      <c r="F16" s="3" t="s">
        <v>774</v>
      </c>
      <c r="G16" s="3" t="s">
        <v>32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775</v>
      </c>
      <c r="B17" s="3" t="s">
        <v>776</v>
      </c>
      <c r="C17" s="3" t="s">
        <v>695</v>
      </c>
      <c r="D17" s="3" t="s">
        <v>393</v>
      </c>
      <c r="E17" s="3" t="s">
        <v>777</v>
      </c>
      <c r="F17" s="3" t="s">
        <v>778</v>
      </c>
      <c r="G17" s="3" t="s">
        <v>32</v>
      </c>
      <c r="H17" s="3" t="s">
        <v>779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00_README</vt:lpstr>
      <vt:lpstr>01_Dimensions</vt:lpstr>
      <vt:lpstr>02_Indicateurs</vt:lpstr>
      <vt:lpstr>03_Variables</vt:lpstr>
      <vt:lpstr>04_Preuves</vt:lpstr>
      <vt:lpstr>05_IQP</vt:lpstr>
      <vt:lpstr>06_Normalisation</vt:lpstr>
      <vt:lpstr>07_Agregation</vt:lpstr>
      <vt:lpstr>08_Statuts</vt:lpstr>
      <vt:lpstr>09_Hard_Gates</vt:lpstr>
      <vt:lpstr>10_Anomalies_Exceptions</vt:lpstr>
      <vt:lpstr>11_Fraicheur</vt:lpstr>
      <vt:lpstr>12_Versionnage</vt:lpstr>
      <vt:lpstr>13_A_Calibrer</vt:lpstr>
      <vt:lpstr>14_Config_Moteur</vt:lpstr>
      <vt:lpstr>15_Sorties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Boubacar GUIDA</cp:lastModifiedBy>
  <dcterms:modified xsi:type="dcterms:W3CDTF">2026-10-11T20:15:42Z</dcterms:modified>
</cp:coreProperties>
</file>